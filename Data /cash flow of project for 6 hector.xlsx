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192"/>
  </bookViews>
  <sheets>
    <sheet name="Project Cash flow " sheetId="1" r:id="rId1"/>
  </sheets>
  <definedNames>
    <definedName name="_xlnm.Print_Area" localSheetId="0">'Project Cash flow '!$A$1:$K$82</definedName>
  </definedNames>
  <calcPr calcId="162913"/>
</workbook>
</file>

<file path=xl/calcChain.xml><?xml version="1.0" encoding="utf-8"?>
<calcChain xmlns="http://schemas.openxmlformats.org/spreadsheetml/2006/main">
  <c r="C41" i="1" l="1"/>
  <c r="C43" i="1"/>
  <c r="B59" i="1"/>
  <c r="F79" i="1" l="1"/>
  <c r="B78" i="1"/>
  <c r="B80" i="1" s="1"/>
  <c r="C77" i="1" s="1"/>
  <c r="B41" i="1"/>
  <c r="C47" i="1"/>
  <c r="G39" i="1"/>
  <c r="F39" i="1"/>
  <c r="E39" i="1"/>
  <c r="D39" i="1"/>
  <c r="C39" i="1"/>
  <c r="E17" i="1"/>
  <c r="G63" i="1" l="1"/>
  <c r="D47" i="1" l="1"/>
  <c r="E47" i="1"/>
  <c r="F47" i="1"/>
  <c r="G47" i="1"/>
  <c r="F13" i="1" l="1"/>
  <c r="B13" i="1"/>
  <c r="C74" i="1" l="1"/>
  <c r="D74" i="1" s="1"/>
  <c r="B68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C54" i="1"/>
  <c r="C68" i="1" s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B49" i="1"/>
  <c r="B51" i="1" s="1"/>
  <c r="B62" i="1"/>
  <c r="I41" i="1"/>
  <c r="H41" i="1"/>
  <c r="M40" i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J39" i="1"/>
  <c r="K39" i="1" s="1"/>
  <c r="D41" i="1"/>
  <c r="D43" i="1" s="1"/>
  <c r="H38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D12" i="1"/>
  <c r="E12" i="1" s="1"/>
  <c r="B11" i="1"/>
  <c r="G10" i="1"/>
  <c r="G13" i="1" s="1"/>
  <c r="C8" i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B5" i="1"/>
  <c r="H49" i="1" l="1"/>
  <c r="H43" i="1"/>
  <c r="I49" i="1"/>
  <c r="I43" i="1"/>
  <c r="I38" i="1"/>
  <c r="I47" i="1" s="1"/>
  <c r="H47" i="1"/>
  <c r="C49" i="1"/>
  <c r="C51" i="1" s="1"/>
  <c r="D49" i="1"/>
  <c r="D10" i="1"/>
  <c r="D13" i="1" s="1"/>
  <c r="C13" i="1"/>
  <c r="D54" i="1"/>
  <c r="D68" i="1" s="1"/>
  <c r="C11" i="1"/>
  <c r="D8" i="1"/>
  <c r="H10" i="1"/>
  <c r="H13" i="1" s="1"/>
  <c r="I50" i="1"/>
  <c r="L39" i="1"/>
  <c r="K41" i="1"/>
  <c r="J41" i="1"/>
  <c r="E74" i="1"/>
  <c r="D51" i="1" l="1"/>
  <c r="I51" i="1"/>
  <c r="H51" i="1"/>
  <c r="J49" i="1"/>
  <c r="J43" i="1"/>
  <c r="K49" i="1"/>
  <c r="K43" i="1"/>
  <c r="J38" i="1"/>
  <c r="J47" i="1" s="1"/>
  <c r="D50" i="1"/>
  <c r="C59" i="1"/>
  <c r="C62" i="1" s="1"/>
  <c r="E10" i="1"/>
  <c r="E13" i="1" s="1"/>
  <c r="E30" i="1" s="1"/>
  <c r="E54" i="1"/>
  <c r="D11" i="1"/>
  <c r="F74" i="1"/>
  <c r="D59" i="1"/>
  <c r="D62" i="1" s="1"/>
  <c r="D79" i="1" s="1"/>
  <c r="I10" i="1"/>
  <c r="I13" i="1" s="1"/>
  <c r="E41" i="1"/>
  <c r="E43" i="1" s="1"/>
  <c r="E8" i="1"/>
  <c r="M39" i="1"/>
  <c r="L41" i="1"/>
  <c r="D63" i="1" l="1"/>
  <c r="E34" i="1"/>
  <c r="B56" i="1" s="1"/>
  <c r="B75" i="1" s="1"/>
  <c r="J51" i="1"/>
  <c r="K51" i="1"/>
  <c r="J50" i="1"/>
  <c r="K50" i="1"/>
  <c r="L49" i="1"/>
  <c r="L50" i="1" s="1"/>
  <c r="L43" i="1"/>
  <c r="K38" i="1"/>
  <c r="K47" i="1" s="1"/>
  <c r="E11" i="1"/>
  <c r="F11" i="1" s="1"/>
  <c r="G11" i="1" s="1"/>
  <c r="H11" i="1" s="1"/>
  <c r="I11" i="1" s="1"/>
  <c r="E49" i="1"/>
  <c r="E59" i="1"/>
  <c r="E62" i="1" s="1"/>
  <c r="E79" i="1" s="1"/>
  <c r="E68" i="1"/>
  <c r="F54" i="1"/>
  <c r="M41" i="1"/>
  <c r="N39" i="1"/>
  <c r="F8" i="1"/>
  <c r="J10" i="1"/>
  <c r="G41" i="1"/>
  <c r="G43" i="1" s="1"/>
  <c r="F41" i="1"/>
  <c r="F43" i="1" s="1"/>
  <c r="G74" i="1"/>
  <c r="E51" i="1" l="1"/>
  <c r="L51" i="1"/>
  <c r="L38" i="1"/>
  <c r="L47" i="1" s="1"/>
  <c r="E50" i="1"/>
  <c r="M49" i="1"/>
  <c r="M43" i="1"/>
  <c r="J11" i="1"/>
  <c r="J13" i="1"/>
  <c r="F68" i="1"/>
  <c r="G54" i="1"/>
  <c r="K10" i="1"/>
  <c r="O39" i="1"/>
  <c r="N41" i="1"/>
  <c r="H74" i="1"/>
  <c r="F49" i="1"/>
  <c r="F59" i="1"/>
  <c r="F62" i="1" s="1"/>
  <c r="G49" i="1"/>
  <c r="G8" i="1"/>
  <c r="B63" i="1"/>
  <c r="B66" i="1" l="1"/>
  <c r="B69" i="1" s="1"/>
  <c r="B64" i="1"/>
  <c r="M38" i="1"/>
  <c r="M47" i="1" s="1"/>
  <c r="G51" i="1"/>
  <c r="M51" i="1"/>
  <c r="F51" i="1"/>
  <c r="M50" i="1"/>
  <c r="N49" i="1"/>
  <c r="N43" i="1"/>
  <c r="G68" i="1"/>
  <c r="H54" i="1"/>
  <c r="K11" i="1"/>
  <c r="K13" i="1"/>
  <c r="G59" i="1"/>
  <c r="G62" i="1" s="1"/>
  <c r="B81" i="1"/>
  <c r="C75" i="1" s="1"/>
  <c r="H8" i="1"/>
  <c r="G50" i="1"/>
  <c r="H50" i="1"/>
  <c r="F50" i="1"/>
  <c r="P39" i="1"/>
  <c r="O41" i="1"/>
  <c r="I74" i="1"/>
  <c r="L10" i="1"/>
  <c r="L13" i="1" s="1"/>
  <c r="C78" i="1" l="1"/>
  <c r="C80" i="1" s="1"/>
  <c r="D77" i="1" s="1"/>
  <c r="N38" i="1"/>
  <c r="N47" i="1" s="1"/>
  <c r="C63" i="1"/>
  <c r="N51" i="1"/>
  <c r="N50" i="1"/>
  <c r="O49" i="1"/>
  <c r="O43" i="1"/>
  <c r="I54" i="1"/>
  <c r="H68" i="1"/>
  <c r="H59" i="1"/>
  <c r="H62" i="1" s="1"/>
  <c r="Q39" i="1"/>
  <c r="P41" i="1"/>
  <c r="M10" i="1"/>
  <c r="M13" i="1" s="1"/>
  <c r="J74" i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I8" i="1"/>
  <c r="L11" i="1"/>
  <c r="O38" i="1" l="1"/>
  <c r="O47" i="1" s="1"/>
  <c r="C64" i="1"/>
  <c r="C66" i="1" s="1"/>
  <c r="C69" i="1" s="1"/>
  <c r="C81" i="1"/>
  <c r="D75" i="1" s="1"/>
  <c r="D78" i="1"/>
  <c r="D80" i="1" s="1"/>
  <c r="E77" i="1" s="1"/>
  <c r="O51" i="1"/>
  <c r="O50" i="1"/>
  <c r="P49" i="1"/>
  <c r="P43" i="1"/>
  <c r="I68" i="1"/>
  <c r="J54" i="1"/>
  <c r="I59" i="1"/>
  <c r="I62" i="1" s="1"/>
  <c r="I64" i="1" s="1"/>
  <c r="I66" i="1" s="1"/>
  <c r="M11" i="1"/>
  <c r="J8" i="1"/>
  <c r="N10" i="1"/>
  <c r="N13" i="1" s="1"/>
  <c r="P50" i="1"/>
  <c r="P38" i="1"/>
  <c r="P47" i="1" s="1"/>
  <c r="Q41" i="1"/>
  <c r="R39" i="1"/>
  <c r="P51" i="1" l="1"/>
  <c r="Q49" i="1"/>
  <c r="Q50" i="1" s="1"/>
  <c r="Q43" i="1"/>
  <c r="D64" i="1"/>
  <c r="D66" i="1" s="1"/>
  <c r="D69" i="1" s="1"/>
  <c r="D82" i="1"/>
  <c r="I69" i="1"/>
  <c r="K54" i="1"/>
  <c r="J68" i="1"/>
  <c r="J59" i="1"/>
  <c r="J62" i="1" s="1"/>
  <c r="J64" i="1" s="1"/>
  <c r="J66" i="1" s="1"/>
  <c r="D81" i="1"/>
  <c r="Q38" i="1"/>
  <c r="Q47" i="1" s="1"/>
  <c r="O10" i="1"/>
  <c r="O13" i="1" s="1"/>
  <c r="N11" i="1"/>
  <c r="S39" i="1"/>
  <c r="R41" i="1"/>
  <c r="K8" i="1"/>
  <c r="E75" i="1" l="1"/>
  <c r="E78" i="1"/>
  <c r="Q51" i="1"/>
  <c r="R49" i="1"/>
  <c r="R50" i="1" s="1"/>
  <c r="R43" i="1"/>
  <c r="E63" i="1"/>
  <c r="E64" i="1" s="1"/>
  <c r="E66" i="1" s="1"/>
  <c r="E69" i="1" s="1"/>
  <c r="J69" i="1"/>
  <c r="K68" i="1"/>
  <c r="L54" i="1"/>
  <c r="O11" i="1"/>
  <c r="K59" i="1"/>
  <c r="K62" i="1" s="1"/>
  <c r="K64" i="1" s="1"/>
  <c r="K66" i="1" s="1"/>
  <c r="T39" i="1"/>
  <c r="S41" i="1"/>
  <c r="P10" i="1"/>
  <c r="L8" i="1"/>
  <c r="R38" i="1"/>
  <c r="R47" i="1" s="1"/>
  <c r="E82" i="1" l="1"/>
  <c r="E80" i="1"/>
  <c r="F77" i="1" s="1"/>
  <c r="E81" i="1"/>
  <c r="R51" i="1"/>
  <c r="S49" i="1"/>
  <c r="S50" i="1" s="1"/>
  <c r="S43" i="1"/>
  <c r="K69" i="1"/>
  <c r="L68" i="1"/>
  <c r="M54" i="1"/>
  <c r="P11" i="1"/>
  <c r="P13" i="1"/>
  <c r="L59" i="1"/>
  <c r="L62" i="1" s="1"/>
  <c r="L64" i="1" s="1"/>
  <c r="L66" i="1" s="1"/>
  <c r="L69" i="1" s="1"/>
  <c r="M8" i="1"/>
  <c r="S38" i="1"/>
  <c r="S47" i="1" s="1"/>
  <c r="Q10" i="1"/>
  <c r="Q13" i="1" s="1"/>
  <c r="U39" i="1"/>
  <c r="T41" i="1"/>
  <c r="F78" i="1" l="1"/>
  <c r="F80" i="1" s="1"/>
  <c r="G77" i="1" s="1"/>
  <c r="F75" i="1"/>
  <c r="S51" i="1"/>
  <c r="T49" i="1"/>
  <c r="T43" i="1"/>
  <c r="F63" i="1"/>
  <c r="F64" i="1" s="1"/>
  <c r="F66" i="1" s="1"/>
  <c r="F69" i="1" s="1"/>
  <c r="N54" i="1"/>
  <c r="M68" i="1"/>
  <c r="M59" i="1"/>
  <c r="M62" i="1" s="1"/>
  <c r="M64" i="1" s="1"/>
  <c r="M66" i="1" s="1"/>
  <c r="N8" i="1"/>
  <c r="U41" i="1"/>
  <c r="V39" i="1"/>
  <c r="R10" i="1"/>
  <c r="R13" i="1" s="1"/>
  <c r="T38" i="1"/>
  <c r="T47" i="1" s="1"/>
  <c r="Q11" i="1"/>
  <c r="F82" i="1" l="1"/>
  <c r="F81" i="1"/>
  <c r="G75" i="1" s="1"/>
  <c r="G78" i="1"/>
  <c r="T51" i="1"/>
  <c r="T50" i="1"/>
  <c r="U49" i="1"/>
  <c r="U43" i="1"/>
  <c r="R11" i="1"/>
  <c r="M69" i="1"/>
  <c r="N68" i="1"/>
  <c r="O54" i="1"/>
  <c r="N59" i="1"/>
  <c r="N62" i="1" s="1"/>
  <c r="N64" i="1" s="1"/>
  <c r="N66" i="1" s="1"/>
  <c r="U38" i="1"/>
  <c r="U47" i="1" s="1"/>
  <c r="S10" i="1"/>
  <c r="O8" i="1"/>
  <c r="W39" i="1"/>
  <c r="V41" i="1"/>
  <c r="U51" i="1" l="1"/>
  <c r="U50" i="1"/>
  <c r="V49" i="1"/>
  <c r="V43" i="1"/>
  <c r="G64" i="1"/>
  <c r="G66" i="1" s="1"/>
  <c r="G69" i="1" s="1"/>
  <c r="G82" i="1"/>
  <c r="N69" i="1"/>
  <c r="S11" i="1"/>
  <c r="S13" i="1"/>
  <c r="P54" i="1"/>
  <c r="O68" i="1"/>
  <c r="O59" i="1"/>
  <c r="O62" i="1" s="1"/>
  <c r="O64" i="1" s="1"/>
  <c r="O66" i="1" s="1"/>
  <c r="G81" i="1"/>
  <c r="X39" i="1"/>
  <c r="W41" i="1"/>
  <c r="P8" i="1"/>
  <c r="V38" i="1"/>
  <c r="V47" i="1" s="1"/>
  <c r="T10" i="1"/>
  <c r="T13" i="1" s="1"/>
  <c r="H75" i="1" l="1"/>
  <c r="H78" i="1"/>
  <c r="I77" i="1" s="1"/>
  <c r="H63" i="1"/>
  <c r="H64" i="1" s="1"/>
  <c r="H66" i="1" s="1"/>
  <c r="H69" i="1" s="1"/>
  <c r="V51" i="1"/>
  <c r="V50" i="1"/>
  <c r="W49" i="1"/>
  <c r="W43" i="1"/>
  <c r="O69" i="1"/>
  <c r="Q54" i="1"/>
  <c r="P68" i="1"/>
  <c r="P59" i="1"/>
  <c r="P62" i="1" s="1"/>
  <c r="P64" i="1" s="1"/>
  <c r="P66" i="1" s="1"/>
  <c r="Q8" i="1"/>
  <c r="Y39" i="1"/>
  <c r="X41" i="1"/>
  <c r="W38" i="1"/>
  <c r="W47" i="1" s="1"/>
  <c r="U10" i="1"/>
  <c r="U13" i="1" s="1"/>
  <c r="T11" i="1"/>
  <c r="H82" i="1" l="1"/>
  <c r="H81" i="1"/>
  <c r="I75" i="1" s="1"/>
  <c r="I78" i="1"/>
  <c r="I80" i="1" s="1"/>
  <c r="W51" i="1"/>
  <c r="W50" i="1"/>
  <c r="X49" i="1"/>
  <c r="X43" i="1"/>
  <c r="P69" i="1"/>
  <c r="R54" i="1"/>
  <c r="Q68" i="1"/>
  <c r="Q59" i="1"/>
  <c r="Q62" i="1" s="1"/>
  <c r="Q64" i="1" s="1"/>
  <c r="Q66" i="1" s="1"/>
  <c r="U11" i="1"/>
  <c r="X38" i="1"/>
  <c r="X47" i="1" s="1"/>
  <c r="V10" i="1"/>
  <c r="V13" i="1" s="1"/>
  <c r="R8" i="1"/>
  <c r="Y41" i="1"/>
  <c r="Z39" i="1"/>
  <c r="I81" i="1" l="1"/>
  <c r="J75" i="1" s="1"/>
  <c r="J81" i="1" s="1"/>
  <c r="K75" i="1" s="1"/>
  <c r="K81" i="1" s="1"/>
  <c r="L75" i="1" s="1"/>
  <c r="L81" i="1" s="1"/>
  <c r="M75" i="1" s="1"/>
  <c r="M81" i="1" s="1"/>
  <c r="N75" i="1" s="1"/>
  <c r="N81" i="1" s="1"/>
  <c r="O75" i="1" s="1"/>
  <c r="O81" i="1" s="1"/>
  <c r="P75" i="1" s="1"/>
  <c r="P81" i="1" s="1"/>
  <c r="Q75" i="1" s="1"/>
  <c r="Q81" i="1" s="1"/>
  <c r="R75" i="1" s="1"/>
  <c r="R81" i="1" s="1"/>
  <c r="S75" i="1" s="1"/>
  <c r="S81" i="1" s="1"/>
  <c r="T75" i="1" s="1"/>
  <c r="T81" i="1" s="1"/>
  <c r="U75" i="1" s="1"/>
  <c r="U81" i="1" s="1"/>
  <c r="V75" i="1" s="1"/>
  <c r="V81" i="1" s="1"/>
  <c r="W75" i="1" s="1"/>
  <c r="W81" i="1" s="1"/>
  <c r="X75" i="1" s="1"/>
  <c r="X81" i="1" s="1"/>
  <c r="Y75" i="1" s="1"/>
  <c r="Y81" i="1" s="1"/>
  <c r="Z75" i="1" s="1"/>
  <c r="Z81" i="1" s="1"/>
  <c r="AA75" i="1" s="1"/>
  <c r="AA81" i="1" s="1"/>
  <c r="AB75" i="1" s="1"/>
  <c r="AB81" i="1" s="1"/>
  <c r="AC75" i="1" s="1"/>
  <c r="AC81" i="1" s="1"/>
  <c r="AD75" i="1" s="1"/>
  <c r="AD81" i="1" s="1"/>
  <c r="AE75" i="1" s="1"/>
  <c r="AE81" i="1" s="1"/>
  <c r="X51" i="1"/>
  <c r="X50" i="1"/>
  <c r="Y49" i="1"/>
  <c r="Y43" i="1"/>
  <c r="Q69" i="1"/>
  <c r="S54" i="1"/>
  <c r="R68" i="1"/>
  <c r="R59" i="1"/>
  <c r="R62" i="1" s="1"/>
  <c r="R64" i="1" s="1"/>
  <c r="R66" i="1" s="1"/>
  <c r="W10" i="1"/>
  <c r="W13" i="1" s="1"/>
  <c r="V11" i="1"/>
  <c r="AA39" i="1"/>
  <c r="Z41" i="1"/>
  <c r="S8" i="1"/>
  <c r="Y38" i="1"/>
  <c r="Y47" i="1" s="1"/>
  <c r="Y51" i="1" l="1"/>
  <c r="Y50" i="1"/>
  <c r="Z49" i="1"/>
  <c r="Z43" i="1"/>
  <c r="R69" i="1"/>
  <c r="T54" i="1"/>
  <c r="S68" i="1"/>
  <c r="S59" i="1"/>
  <c r="S62" i="1" s="1"/>
  <c r="S64" i="1" s="1"/>
  <c r="S66" i="1" s="1"/>
  <c r="W11" i="1"/>
  <c r="X10" i="1"/>
  <c r="X13" i="1" s="1"/>
  <c r="T8" i="1"/>
  <c r="Z38" i="1"/>
  <c r="Z47" i="1" s="1"/>
  <c r="AB39" i="1"/>
  <c r="AA41" i="1"/>
  <c r="Z51" i="1" l="1"/>
  <c r="Z50" i="1"/>
  <c r="AA49" i="1"/>
  <c r="AA43" i="1"/>
  <c r="S69" i="1"/>
  <c r="T68" i="1"/>
  <c r="U54" i="1"/>
  <c r="T59" i="1"/>
  <c r="T62" i="1" s="1"/>
  <c r="T64" i="1" s="1"/>
  <c r="T66" i="1" s="1"/>
  <c r="AC39" i="1"/>
  <c r="AB41" i="1"/>
  <c r="AA38" i="1"/>
  <c r="AA47" i="1" s="1"/>
  <c r="X11" i="1"/>
  <c r="U8" i="1"/>
  <c r="Y10" i="1"/>
  <c r="Y13" i="1" s="1"/>
  <c r="AA51" i="1" l="1"/>
  <c r="AA50" i="1"/>
  <c r="AB49" i="1"/>
  <c r="AB43" i="1"/>
  <c r="T69" i="1"/>
  <c r="U68" i="1"/>
  <c r="V54" i="1"/>
  <c r="U59" i="1"/>
  <c r="U62" i="1" s="1"/>
  <c r="U64" i="1" s="1"/>
  <c r="U66" i="1" s="1"/>
  <c r="AB38" i="1"/>
  <c r="AB47" i="1" s="1"/>
  <c r="Y11" i="1"/>
  <c r="Z10" i="1"/>
  <c r="Z13" i="1" s="1"/>
  <c r="V8" i="1"/>
  <c r="AC41" i="1"/>
  <c r="AD39" i="1"/>
  <c r="AB51" i="1" l="1"/>
  <c r="AB50" i="1"/>
  <c r="AC49" i="1"/>
  <c r="AC43" i="1"/>
  <c r="U69" i="1"/>
  <c r="V68" i="1"/>
  <c r="W54" i="1"/>
  <c r="V59" i="1"/>
  <c r="V62" i="1" s="1"/>
  <c r="V64" i="1" s="1"/>
  <c r="V66" i="1" s="1"/>
  <c r="Z11" i="1"/>
  <c r="AA10" i="1"/>
  <c r="AA13" i="1" s="1"/>
  <c r="AE39" i="1"/>
  <c r="AE41" i="1" s="1"/>
  <c r="AD41" i="1"/>
  <c r="W8" i="1"/>
  <c r="AC38" i="1"/>
  <c r="AC47" i="1" s="1"/>
  <c r="AC51" i="1" l="1"/>
  <c r="AC50" i="1"/>
  <c r="AE49" i="1"/>
  <c r="AE43" i="1"/>
  <c r="AD49" i="1"/>
  <c r="AD50" i="1" s="1"/>
  <c r="AD43" i="1"/>
  <c r="V69" i="1"/>
  <c r="X54" i="1"/>
  <c r="W68" i="1"/>
  <c r="W59" i="1"/>
  <c r="W62" i="1" s="1"/>
  <c r="W64" i="1" s="1"/>
  <c r="W66" i="1" s="1"/>
  <c r="AB10" i="1"/>
  <c r="AB13" i="1" s="1"/>
  <c r="AA11" i="1"/>
  <c r="AD38" i="1"/>
  <c r="AD47" i="1" s="1"/>
  <c r="X8" i="1"/>
  <c r="AE51" i="1" l="1"/>
  <c r="AD51" i="1"/>
  <c r="AE50" i="1"/>
  <c r="W69" i="1"/>
  <c r="Y54" i="1"/>
  <c r="X68" i="1"/>
  <c r="X59" i="1"/>
  <c r="X62" i="1" s="1"/>
  <c r="X64" i="1" s="1"/>
  <c r="X66" i="1" s="1"/>
  <c r="AB11" i="1"/>
  <c r="Y8" i="1"/>
  <c r="AE38" i="1"/>
  <c r="AE47" i="1" s="1"/>
  <c r="AC10" i="1"/>
  <c r="AC13" i="1" s="1"/>
  <c r="X69" i="1" l="1"/>
  <c r="Y68" i="1"/>
  <c r="Z54" i="1"/>
  <c r="AC11" i="1"/>
  <c r="Y59" i="1"/>
  <c r="Y62" i="1" s="1"/>
  <c r="Y64" i="1" s="1"/>
  <c r="Y66" i="1" s="1"/>
  <c r="AD10" i="1"/>
  <c r="Z8" i="1"/>
  <c r="Y69" i="1" l="1"/>
  <c r="AD11" i="1"/>
  <c r="AD13" i="1"/>
  <c r="AA54" i="1"/>
  <c r="Z68" i="1"/>
  <c r="Z59" i="1"/>
  <c r="Z62" i="1" s="1"/>
  <c r="Z64" i="1" s="1"/>
  <c r="Z66" i="1" s="1"/>
  <c r="AA8" i="1"/>
  <c r="AE10" i="1"/>
  <c r="AE13" i="1" s="1"/>
  <c r="Z69" i="1" l="1"/>
  <c r="AA68" i="1"/>
  <c r="AB54" i="1"/>
  <c r="AA59" i="1"/>
  <c r="AA62" i="1" s="1"/>
  <c r="AA64" i="1" s="1"/>
  <c r="AA66" i="1" s="1"/>
  <c r="AE11" i="1"/>
  <c r="AB8" i="1"/>
  <c r="AA69" i="1" l="1"/>
  <c r="AB68" i="1"/>
  <c r="AC54" i="1"/>
  <c r="AB59" i="1"/>
  <c r="AB62" i="1" s="1"/>
  <c r="AB64" i="1" s="1"/>
  <c r="AB66" i="1" s="1"/>
  <c r="AC8" i="1"/>
  <c r="AB69" i="1" l="1"/>
  <c r="AD54" i="1"/>
  <c r="AC68" i="1"/>
  <c r="AC59" i="1"/>
  <c r="AC62" i="1" s="1"/>
  <c r="AC64" i="1" s="1"/>
  <c r="AC66" i="1" s="1"/>
  <c r="AD8" i="1"/>
  <c r="AC69" i="1" l="1"/>
  <c r="AE54" i="1"/>
  <c r="AE68" i="1" s="1"/>
  <c r="AD68" i="1"/>
  <c r="AD59" i="1"/>
  <c r="AD62" i="1" s="1"/>
  <c r="AD64" i="1" s="1"/>
  <c r="AD66" i="1" s="1"/>
  <c r="AE8" i="1"/>
  <c r="AD69" i="1" l="1"/>
  <c r="AE59" i="1"/>
  <c r="AE62" i="1" s="1"/>
  <c r="AE64" i="1" s="1"/>
  <c r="AE66" i="1" s="1"/>
  <c r="AE69" i="1" s="1"/>
  <c r="B70" i="1" l="1"/>
  <c r="B71" i="1"/>
</calcChain>
</file>

<file path=xl/sharedStrings.xml><?xml version="1.0" encoding="utf-8"?>
<sst xmlns="http://schemas.openxmlformats.org/spreadsheetml/2006/main" count="97" uniqueCount="86">
  <si>
    <t xml:space="preserve">Applicant Name </t>
  </si>
  <si>
    <t xml:space="preserve">Location </t>
  </si>
  <si>
    <t xml:space="preserve">Survey Number </t>
  </si>
  <si>
    <t xml:space="preserve">Area (h.a) </t>
  </si>
  <si>
    <t xml:space="preserve">Area in acres </t>
  </si>
  <si>
    <t xml:space="preserve">Year </t>
  </si>
  <si>
    <t xml:space="preserve">Fiscal Year End </t>
  </si>
  <si>
    <t>e</t>
  </si>
  <si>
    <t xml:space="preserve">Capital Expenditure Projection </t>
  </si>
  <si>
    <t xml:space="preserve">Dragon Fruit area addition </t>
  </si>
  <si>
    <t xml:space="preserve">Total Area under cultivation </t>
  </si>
  <si>
    <t xml:space="preserve">Dragon fruit  Capital expenditure per acre </t>
  </si>
  <si>
    <t xml:space="preserve">Total Plantation cost </t>
  </si>
  <si>
    <t xml:space="preserve">Farm capex </t>
  </si>
  <si>
    <t xml:space="preserve">Units </t>
  </si>
  <si>
    <t>Rate</t>
  </si>
  <si>
    <t xml:space="preserve">Qty </t>
  </si>
  <si>
    <t xml:space="preserve">Amount </t>
  </si>
  <si>
    <t xml:space="preserve">Remarks </t>
  </si>
  <si>
    <t>Per acre</t>
  </si>
  <si>
    <t xml:space="preserve">Fencing </t>
  </si>
  <si>
    <t>running feet</t>
  </si>
  <si>
    <t xml:space="preserve">Farm road </t>
  </si>
  <si>
    <t xml:space="preserve">Sq ft </t>
  </si>
  <si>
    <t xml:space="preserve">Levelling </t>
  </si>
  <si>
    <t xml:space="preserve">Tubewell </t>
  </si>
  <si>
    <t xml:space="preserve">Nos #s </t>
  </si>
  <si>
    <t xml:space="preserve">Labour quarter </t>
  </si>
  <si>
    <t xml:space="preserve">Admin building </t>
  </si>
  <si>
    <t>Including Furnitures &amp; Fixtures</t>
  </si>
  <si>
    <t xml:space="preserve">Collection &amp; Pack house </t>
  </si>
  <si>
    <t xml:space="preserve">Tractor </t>
  </si>
  <si>
    <t xml:space="preserve">Tools &amp; equipments </t>
  </si>
  <si>
    <t>Set</t>
  </si>
  <si>
    <t xml:space="preserve">Drip/Sprinkler sets </t>
  </si>
  <si>
    <t>Acre</t>
  </si>
  <si>
    <t xml:space="preserve">Automation &amp; store </t>
  </si>
  <si>
    <t xml:space="preserve">Fertilizers </t>
  </si>
  <si>
    <t>EBC (Biogas) Units of 5 m3</t>
  </si>
  <si>
    <t>From Above</t>
  </si>
  <si>
    <t xml:space="preserve">Electricity </t>
  </si>
  <si>
    <t>Unit</t>
  </si>
  <si>
    <t>Infrastructure expenses</t>
  </si>
  <si>
    <t xml:space="preserve">Total Non recurring expenses </t>
  </si>
  <si>
    <t>Farm opex</t>
  </si>
  <si>
    <t xml:space="preserve">Dragon fruit </t>
  </si>
  <si>
    <t>Producing acers</t>
  </si>
  <si>
    <t xml:space="preserve">Total Yield </t>
  </si>
  <si>
    <t xml:space="preserve">Price per Kg </t>
  </si>
  <si>
    <t>Dragon fruit sales in lakhs</t>
  </si>
  <si>
    <t>Total Sales</t>
  </si>
  <si>
    <t xml:space="preserve">Maintenance </t>
  </si>
  <si>
    <t xml:space="preserve">Cash expenses </t>
  </si>
  <si>
    <t xml:space="preserve">DF Sales </t>
  </si>
  <si>
    <t xml:space="preserve">% Growth </t>
  </si>
  <si>
    <t xml:space="preserve">Total Sales </t>
  </si>
  <si>
    <t xml:space="preserve">Cash flow statement </t>
  </si>
  <si>
    <t xml:space="preserve">Cash outflow </t>
  </si>
  <si>
    <t xml:space="preserve">Capex </t>
  </si>
  <si>
    <t xml:space="preserve">Cash inflow </t>
  </si>
  <si>
    <t xml:space="preserve">Net Inflow from plantation </t>
  </si>
  <si>
    <t xml:space="preserve">Corporate expenses </t>
  </si>
  <si>
    <t xml:space="preserve">Net operating cash flow </t>
  </si>
  <si>
    <t xml:space="preserve">Debt repayment </t>
  </si>
  <si>
    <t xml:space="preserve">Net Cash Flow </t>
  </si>
  <si>
    <t xml:space="preserve">Cash Inflow </t>
  </si>
  <si>
    <t xml:space="preserve">Discounting Rate </t>
  </si>
  <si>
    <t xml:space="preserve">Discounting factor </t>
  </si>
  <si>
    <t xml:space="preserve">Present Value of Cash flow </t>
  </si>
  <si>
    <t xml:space="preserve">Total PV of Cash flow </t>
  </si>
  <si>
    <t xml:space="preserve">IRR </t>
  </si>
  <si>
    <t xml:space="preserve">Debt repayment schedule </t>
  </si>
  <si>
    <t xml:space="preserve">Opening Balance </t>
  </si>
  <si>
    <t xml:space="preserve">Interest cost </t>
  </si>
  <si>
    <t xml:space="preserve">Repayment </t>
  </si>
  <si>
    <t xml:space="preserve">Closing Balance </t>
  </si>
  <si>
    <t xml:space="preserve">Dragon </t>
  </si>
  <si>
    <t>KOTDA ROHA</t>
  </si>
  <si>
    <t>Land Cost</t>
  </si>
  <si>
    <t xml:space="preserve">Pump House &amp; motor </t>
  </si>
  <si>
    <t>bank loan</t>
  </si>
  <si>
    <t xml:space="preserve">Promotors </t>
  </si>
  <si>
    <t>Outstanding Loan</t>
  </si>
  <si>
    <t>provision for two years expences</t>
  </si>
  <si>
    <t>Inflow from provision</t>
  </si>
  <si>
    <t>NAVALAM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</si>
</sst>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);\(#,##0\);\-_)"/>
    <numFmt numFmtId="165" formatCode="_-* #,##0.00_-;\-* #,##0.00_-;_-* &quot;-&quot;??_-;_-@_-"/>
    <numFmt numFmtId="166" formatCode="_-* #,##0_-;\-* #,##0_-;_-* &quot;-&quot;??_-;_-@_-"/>
    <numFmt numFmtId="167" formatCode="0.0%_);\(0.0%\);\-_)"/>
    <numFmt numFmtId="168" formatCode="#,##0.00_);\(#,##0.00\);\-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Alignment="0">
      <alignment vertical="center"/>
    </xf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" fontId="4" fillId="0" borderId="0" xfId="0" applyNumberFormat="1" applyFont="1"/>
    <xf numFmtId="164" fontId="2" fillId="0" borderId="0" xfId="0" applyNumberFormat="1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 indent="1"/>
    </xf>
    <xf numFmtId="164" fontId="3" fillId="0" borderId="0" xfId="0" applyNumberFormat="1" applyFont="1"/>
    <xf numFmtId="164" fontId="6" fillId="0" borderId="0" xfId="0" applyNumberFormat="1" applyFont="1" applyAlignment="1">
      <alignment vertical="center"/>
    </xf>
    <xf numFmtId="164" fontId="4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left"/>
    </xf>
    <xf numFmtId="166" fontId="3" fillId="0" borderId="0" xfId="1" applyNumberFormat="1" applyFont="1"/>
    <xf numFmtId="0" fontId="3" fillId="0" borderId="1" xfId="0" applyFont="1" applyBorder="1"/>
    <xf numFmtId="164" fontId="3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 applyAlignment="1">
      <alignment horizontal="left" indent="1"/>
    </xf>
    <xf numFmtId="0" fontId="3" fillId="0" borderId="0" xfId="0" applyFont="1" applyBorder="1"/>
    <xf numFmtId="167" fontId="9" fillId="0" borderId="0" xfId="3" applyNumberFormat="1" applyFont="1" applyBorder="1" applyAlignment="1">
      <alignment horizontal="right" vertical="center"/>
    </xf>
    <xf numFmtId="0" fontId="3" fillId="0" borderId="3" xfId="0" applyFont="1" applyBorder="1"/>
    <xf numFmtId="164" fontId="3" fillId="0" borderId="0" xfId="0" applyNumberFormat="1" applyFont="1" applyBorder="1"/>
    <xf numFmtId="17" fontId="3" fillId="0" borderId="0" xfId="0" applyNumberFormat="1" applyFont="1"/>
    <xf numFmtId="9" fontId="3" fillId="0" borderId="0" xfId="2" applyNumberFormat="1" applyFont="1"/>
    <xf numFmtId="168" fontId="3" fillId="0" borderId="0" xfId="0" applyNumberFormat="1" applyFont="1"/>
    <xf numFmtId="9" fontId="3" fillId="0" borderId="0" xfId="0" applyNumberFormat="1" applyFont="1"/>
    <xf numFmtId="168" fontId="2" fillId="0" borderId="0" xfId="0" applyNumberFormat="1" applyFont="1" applyAlignment="1">
      <alignment vertical="center"/>
    </xf>
    <xf numFmtId="168" fontId="4" fillId="0" borderId="0" xfId="0" applyNumberFormat="1" applyFont="1"/>
    <xf numFmtId="164" fontId="3" fillId="2" borderId="0" xfId="0" applyNumberFormat="1" applyFont="1" applyFill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z_CI_Small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2"/>
  <sheetViews>
    <sheetView tabSelected="1" zoomScaleNormal="100" workbookViewId="0">
      <pane xSplit="1" ySplit="7" topLeftCell="B43" activePane="bottomRight" state="frozen"/>
      <selection pane="topRight" activeCell="B1" sqref="B1"/>
      <selection pane="bottomLeft" activeCell="A7" sqref="A7"/>
      <selection pane="bottomRight" activeCell="E56" sqref="E56"/>
    </sheetView>
  </sheetViews>
  <sheetFormatPr defaultColWidth="8.6640625" defaultRowHeight="13.8" x14ac:dyDescent="0.25"/>
  <cols>
    <col min="1" max="1" width="40.21875" style="2" bestFit="1" customWidth="1"/>
    <col min="2" max="2" width="13.109375" style="2" bestFit="1" customWidth="1"/>
    <col min="3" max="4" width="11.88671875" style="2" bestFit="1" customWidth="1"/>
    <col min="5" max="5" width="13.109375" style="2" bestFit="1" customWidth="1"/>
    <col min="6" max="6" width="11.33203125" style="2" customWidth="1"/>
    <col min="7" max="7" width="9.88671875" style="2" customWidth="1"/>
    <col min="8" max="31" width="9.6640625" style="2" bestFit="1" customWidth="1"/>
    <col min="32" max="16384" width="8.6640625" style="2"/>
  </cols>
  <sheetData>
    <row r="1" spans="1:31" x14ac:dyDescent="0.25">
      <c r="A1" s="1" t="s">
        <v>0</v>
      </c>
      <c r="B1" s="29" t="s">
        <v>85</v>
      </c>
      <c r="C1" s="29"/>
      <c r="D1" s="29"/>
      <c r="E1" s="29"/>
    </row>
    <row r="2" spans="1:31" x14ac:dyDescent="0.25">
      <c r="A2" s="1" t="s">
        <v>1</v>
      </c>
      <c r="B2" s="29" t="s">
        <v>77</v>
      </c>
      <c r="C2" s="29"/>
      <c r="D2" s="29"/>
      <c r="E2" s="29"/>
    </row>
    <row r="3" spans="1:31" x14ac:dyDescent="0.25">
      <c r="A3" s="1" t="s">
        <v>2</v>
      </c>
      <c r="B3" s="29"/>
      <c r="C3" s="29"/>
      <c r="D3" s="29"/>
      <c r="E3" s="29"/>
    </row>
    <row r="4" spans="1:31" x14ac:dyDescent="0.25">
      <c r="A4" s="1" t="s">
        <v>3</v>
      </c>
      <c r="B4" s="29">
        <v>6</v>
      </c>
      <c r="C4" s="29"/>
      <c r="D4" s="29"/>
      <c r="E4" s="29"/>
    </row>
    <row r="5" spans="1:31" x14ac:dyDescent="0.25">
      <c r="A5" s="1" t="s">
        <v>4</v>
      </c>
      <c r="B5" s="30">
        <f>+B4*2.471</f>
        <v>14.826000000000001</v>
      </c>
      <c r="C5" s="30"/>
      <c r="D5" s="30"/>
      <c r="E5" s="30"/>
    </row>
    <row r="6" spans="1:31" x14ac:dyDescent="0.25">
      <c r="A6" s="3" t="s">
        <v>5</v>
      </c>
      <c r="B6" s="3">
        <v>1</v>
      </c>
      <c r="C6" s="3">
        <f>+B6+1</f>
        <v>2</v>
      </c>
      <c r="D6" s="3">
        <f t="shared" ref="D6:AE6" si="0">+C6+1</f>
        <v>3</v>
      </c>
      <c r="E6" s="3">
        <f t="shared" si="0"/>
        <v>4</v>
      </c>
      <c r="F6" s="3">
        <f t="shared" si="0"/>
        <v>5</v>
      </c>
      <c r="G6" s="3">
        <f t="shared" si="0"/>
        <v>6</v>
      </c>
      <c r="H6" s="3">
        <f t="shared" si="0"/>
        <v>7</v>
      </c>
      <c r="I6" s="3">
        <f t="shared" si="0"/>
        <v>8</v>
      </c>
      <c r="J6" s="3">
        <f t="shared" si="0"/>
        <v>9</v>
      </c>
      <c r="K6" s="3">
        <f t="shared" si="0"/>
        <v>10</v>
      </c>
      <c r="L6" s="3">
        <f t="shared" si="0"/>
        <v>11</v>
      </c>
      <c r="M6" s="3">
        <f t="shared" si="0"/>
        <v>12</v>
      </c>
      <c r="N6" s="3">
        <f t="shared" si="0"/>
        <v>13</v>
      </c>
      <c r="O6" s="3">
        <f t="shared" si="0"/>
        <v>14</v>
      </c>
      <c r="P6" s="3">
        <f t="shared" si="0"/>
        <v>15</v>
      </c>
      <c r="Q6" s="3">
        <f t="shared" si="0"/>
        <v>16</v>
      </c>
      <c r="R6" s="3">
        <f t="shared" si="0"/>
        <v>17</v>
      </c>
      <c r="S6" s="3">
        <f t="shared" si="0"/>
        <v>18</v>
      </c>
      <c r="T6" s="3">
        <f t="shared" si="0"/>
        <v>19</v>
      </c>
      <c r="U6" s="3">
        <f t="shared" si="0"/>
        <v>20</v>
      </c>
      <c r="V6" s="3">
        <f t="shared" si="0"/>
        <v>21</v>
      </c>
      <c r="W6" s="3">
        <f t="shared" si="0"/>
        <v>22</v>
      </c>
      <c r="X6" s="3">
        <f t="shared" si="0"/>
        <v>23</v>
      </c>
      <c r="Y6" s="3">
        <f t="shared" si="0"/>
        <v>24</v>
      </c>
      <c r="Z6" s="3">
        <f t="shared" si="0"/>
        <v>25</v>
      </c>
      <c r="AA6" s="3">
        <f t="shared" si="0"/>
        <v>26</v>
      </c>
      <c r="AB6" s="3">
        <f t="shared" si="0"/>
        <v>27</v>
      </c>
      <c r="AC6" s="3">
        <f t="shared" si="0"/>
        <v>28</v>
      </c>
      <c r="AD6" s="3">
        <f t="shared" si="0"/>
        <v>29</v>
      </c>
      <c r="AE6" s="3">
        <f t="shared" si="0"/>
        <v>30</v>
      </c>
    </row>
    <row r="7" spans="1:31" x14ac:dyDescent="0.25">
      <c r="A7" s="3" t="s">
        <v>6</v>
      </c>
      <c r="B7" s="4">
        <v>44621</v>
      </c>
      <c r="C7" s="4">
        <v>44986</v>
      </c>
      <c r="D7" s="4">
        <v>45352</v>
      </c>
      <c r="E7" s="4">
        <v>45717</v>
      </c>
      <c r="F7" s="4">
        <v>46082</v>
      </c>
      <c r="G7" s="4">
        <v>46447</v>
      </c>
      <c r="H7" s="4">
        <v>46813</v>
      </c>
      <c r="I7" s="4">
        <v>47178</v>
      </c>
      <c r="J7" s="4">
        <v>47543</v>
      </c>
      <c r="K7" s="4">
        <v>47908</v>
      </c>
      <c r="L7" s="4">
        <v>48274</v>
      </c>
      <c r="M7" s="4">
        <v>48639</v>
      </c>
      <c r="N7" s="4">
        <v>49004</v>
      </c>
      <c r="O7" s="4">
        <v>49369</v>
      </c>
      <c r="P7" s="4">
        <v>49735</v>
      </c>
      <c r="Q7" s="4">
        <v>50100</v>
      </c>
      <c r="R7" s="4">
        <v>50465</v>
      </c>
      <c r="S7" s="4">
        <v>50830</v>
      </c>
      <c r="T7" s="4">
        <v>51196</v>
      </c>
      <c r="U7" s="4">
        <v>51561</v>
      </c>
      <c r="V7" s="4">
        <v>51926</v>
      </c>
      <c r="W7" s="4">
        <v>52291</v>
      </c>
      <c r="X7" s="4">
        <v>52657</v>
      </c>
      <c r="Y7" s="4">
        <v>53022</v>
      </c>
      <c r="Z7" s="4">
        <v>53387</v>
      </c>
      <c r="AA7" s="4">
        <v>53752</v>
      </c>
      <c r="AB7" s="4">
        <v>54118</v>
      </c>
      <c r="AC7" s="4">
        <v>54483</v>
      </c>
      <c r="AD7" s="4">
        <v>54848</v>
      </c>
      <c r="AE7" s="4">
        <v>55213</v>
      </c>
    </row>
    <row r="8" spans="1:31" x14ac:dyDescent="0.25">
      <c r="A8" s="3" t="s">
        <v>7</v>
      </c>
      <c r="B8" s="5">
        <v>15</v>
      </c>
      <c r="C8" s="5">
        <f>+B8</f>
        <v>15</v>
      </c>
      <c r="D8" s="5">
        <f t="shared" ref="D8:AE8" si="1">+C8</f>
        <v>15</v>
      </c>
      <c r="E8" s="5">
        <f t="shared" si="1"/>
        <v>15</v>
      </c>
      <c r="F8" s="5">
        <f t="shared" si="1"/>
        <v>15</v>
      </c>
      <c r="G8" s="5">
        <f t="shared" si="1"/>
        <v>15</v>
      </c>
      <c r="H8" s="5">
        <f t="shared" si="1"/>
        <v>15</v>
      </c>
      <c r="I8" s="5">
        <f t="shared" si="1"/>
        <v>15</v>
      </c>
      <c r="J8" s="5">
        <f t="shared" si="1"/>
        <v>15</v>
      </c>
      <c r="K8" s="5">
        <f t="shared" si="1"/>
        <v>15</v>
      </c>
      <c r="L8" s="5">
        <f t="shared" si="1"/>
        <v>15</v>
      </c>
      <c r="M8" s="5">
        <f t="shared" si="1"/>
        <v>15</v>
      </c>
      <c r="N8" s="5">
        <f t="shared" si="1"/>
        <v>15</v>
      </c>
      <c r="O8" s="5">
        <f t="shared" si="1"/>
        <v>15</v>
      </c>
      <c r="P8" s="5">
        <f t="shared" si="1"/>
        <v>15</v>
      </c>
      <c r="Q8" s="5">
        <f t="shared" si="1"/>
        <v>15</v>
      </c>
      <c r="R8" s="5">
        <f t="shared" si="1"/>
        <v>15</v>
      </c>
      <c r="S8" s="5">
        <f t="shared" si="1"/>
        <v>15</v>
      </c>
      <c r="T8" s="5">
        <f t="shared" si="1"/>
        <v>15</v>
      </c>
      <c r="U8" s="5">
        <f t="shared" si="1"/>
        <v>15</v>
      </c>
      <c r="V8" s="5">
        <f t="shared" si="1"/>
        <v>15</v>
      </c>
      <c r="W8" s="5">
        <f t="shared" si="1"/>
        <v>15</v>
      </c>
      <c r="X8" s="5">
        <f t="shared" si="1"/>
        <v>15</v>
      </c>
      <c r="Y8" s="5">
        <f t="shared" si="1"/>
        <v>15</v>
      </c>
      <c r="Z8" s="5">
        <f t="shared" si="1"/>
        <v>15</v>
      </c>
      <c r="AA8" s="5">
        <f t="shared" si="1"/>
        <v>15</v>
      </c>
      <c r="AB8" s="5">
        <f t="shared" si="1"/>
        <v>15</v>
      </c>
      <c r="AC8" s="5">
        <f t="shared" si="1"/>
        <v>15</v>
      </c>
      <c r="AD8" s="5">
        <f t="shared" si="1"/>
        <v>15</v>
      </c>
      <c r="AE8" s="5">
        <f t="shared" si="1"/>
        <v>15</v>
      </c>
    </row>
    <row r="9" spans="1:31" x14ac:dyDescent="0.25">
      <c r="A9" s="6" t="s">
        <v>8</v>
      </c>
    </row>
    <row r="10" spans="1:31" x14ac:dyDescent="0.25">
      <c r="A10" s="7" t="s">
        <v>9</v>
      </c>
      <c r="B10" s="5">
        <v>15</v>
      </c>
      <c r="C10" s="5"/>
      <c r="D10" s="5">
        <f t="shared" ref="D10:AE10" si="2">+C10</f>
        <v>0</v>
      </c>
      <c r="E10" s="5">
        <f t="shared" si="2"/>
        <v>0</v>
      </c>
      <c r="F10" s="5"/>
      <c r="G10" s="5">
        <f t="shared" si="2"/>
        <v>0</v>
      </c>
      <c r="H10" s="5">
        <f t="shared" si="2"/>
        <v>0</v>
      </c>
      <c r="I10" s="5">
        <f t="shared" si="2"/>
        <v>0</v>
      </c>
      <c r="J10" s="5">
        <f t="shared" si="2"/>
        <v>0</v>
      </c>
      <c r="K10" s="5">
        <f t="shared" si="2"/>
        <v>0</v>
      </c>
      <c r="L10" s="5">
        <f t="shared" si="2"/>
        <v>0</v>
      </c>
      <c r="M10" s="5">
        <f t="shared" si="2"/>
        <v>0</v>
      </c>
      <c r="N10" s="5">
        <f t="shared" si="2"/>
        <v>0</v>
      </c>
      <c r="O10" s="5">
        <f t="shared" si="2"/>
        <v>0</v>
      </c>
      <c r="P10" s="5">
        <f t="shared" si="2"/>
        <v>0</v>
      </c>
      <c r="Q10" s="5">
        <f t="shared" si="2"/>
        <v>0</v>
      </c>
      <c r="R10" s="5">
        <f t="shared" si="2"/>
        <v>0</v>
      </c>
      <c r="S10" s="5">
        <f t="shared" si="2"/>
        <v>0</v>
      </c>
      <c r="T10" s="5">
        <f t="shared" si="2"/>
        <v>0</v>
      </c>
      <c r="U10" s="5">
        <f t="shared" si="2"/>
        <v>0</v>
      </c>
      <c r="V10" s="5">
        <f t="shared" si="2"/>
        <v>0</v>
      </c>
      <c r="W10" s="5">
        <f t="shared" si="2"/>
        <v>0</v>
      </c>
      <c r="X10" s="5">
        <f t="shared" si="2"/>
        <v>0</v>
      </c>
      <c r="Y10" s="5">
        <f t="shared" si="2"/>
        <v>0</v>
      </c>
      <c r="Z10" s="5">
        <f t="shared" si="2"/>
        <v>0</v>
      </c>
      <c r="AA10" s="5">
        <f t="shared" si="2"/>
        <v>0</v>
      </c>
      <c r="AB10" s="5">
        <f t="shared" si="2"/>
        <v>0</v>
      </c>
      <c r="AC10" s="5">
        <f t="shared" si="2"/>
        <v>0</v>
      </c>
      <c r="AD10" s="5">
        <f t="shared" si="2"/>
        <v>0</v>
      </c>
      <c r="AE10" s="5">
        <f t="shared" si="2"/>
        <v>0</v>
      </c>
    </row>
    <row r="11" spans="1:31" x14ac:dyDescent="0.25">
      <c r="A11" s="7" t="s">
        <v>10</v>
      </c>
      <c r="B11" s="5">
        <f>+B10</f>
        <v>15</v>
      </c>
      <c r="C11" s="5">
        <f>+B10+C10</f>
        <v>15</v>
      </c>
      <c r="D11" s="5">
        <f>+C11+D10</f>
        <v>15</v>
      </c>
      <c r="E11" s="5">
        <f t="shared" ref="E11:AE11" si="3">+D11+E10</f>
        <v>15</v>
      </c>
      <c r="F11" s="5">
        <f t="shared" si="3"/>
        <v>15</v>
      </c>
      <c r="G11" s="5">
        <f t="shared" si="3"/>
        <v>15</v>
      </c>
      <c r="H11" s="5">
        <f t="shared" si="3"/>
        <v>15</v>
      </c>
      <c r="I11" s="5">
        <f t="shared" si="3"/>
        <v>15</v>
      </c>
      <c r="J11" s="5">
        <f t="shared" si="3"/>
        <v>15</v>
      </c>
      <c r="K11" s="5">
        <f t="shared" si="3"/>
        <v>15</v>
      </c>
      <c r="L11" s="5">
        <f t="shared" si="3"/>
        <v>15</v>
      </c>
      <c r="M11" s="5">
        <f t="shared" si="3"/>
        <v>15</v>
      </c>
      <c r="N11" s="5">
        <f t="shared" si="3"/>
        <v>15</v>
      </c>
      <c r="O11" s="5">
        <f t="shared" si="3"/>
        <v>15</v>
      </c>
      <c r="P11" s="5">
        <f t="shared" si="3"/>
        <v>15</v>
      </c>
      <c r="Q11" s="5">
        <f t="shared" si="3"/>
        <v>15</v>
      </c>
      <c r="R11" s="5">
        <f t="shared" si="3"/>
        <v>15</v>
      </c>
      <c r="S11" s="5">
        <f t="shared" si="3"/>
        <v>15</v>
      </c>
      <c r="T11" s="5">
        <f t="shared" si="3"/>
        <v>15</v>
      </c>
      <c r="U11" s="5">
        <f t="shared" si="3"/>
        <v>15</v>
      </c>
      <c r="V11" s="5">
        <f t="shared" si="3"/>
        <v>15</v>
      </c>
      <c r="W11" s="5">
        <f t="shared" si="3"/>
        <v>15</v>
      </c>
      <c r="X11" s="5">
        <f t="shared" si="3"/>
        <v>15</v>
      </c>
      <c r="Y11" s="5">
        <f t="shared" si="3"/>
        <v>15</v>
      </c>
      <c r="Z11" s="5">
        <f t="shared" si="3"/>
        <v>15</v>
      </c>
      <c r="AA11" s="5">
        <f t="shared" si="3"/>
        <v>15</v>
      </c>
      <c r="AB11" s="5">
        <f t="shared" si="3"/>
        <v>15</v>
      </c>
      <c r="AC11" s="5">
        <f t="shared" si="3"/>
        <v>15</v>
      </c>
      <c r="AD11" s="5">
        <f t="shared" si="3"/>
        <v>15</v>
      </c>
      <c r="AE11" s="5">
        <f t="shared" si="3"/>
        <v>15</v>
      </c>
    </row>
    <row r="12" spans="1:31" x14ac:dyDescent="0.25">
      <c r="A12" s="7" t="s">
        <v>11</v>
      </c>
      <c r="B12" s="5">
        <v>-450000</v>
      </c>
      <c r="C12" s="8"/>
      <c r="D12" s="8">
        <f t="shared" ref="D12:E12" si="4">+C12</f>
        <v>0</v>
      </c>
      <c r="E12" s="8">
        <f t="shared" si="4"/>
        <v>0</v>
      </c>
      <c r="F12" s="8"/>
    </row>
    <row r="13" spans="1:31" s="3" customFormat="1" x14ac:dyDescent="0.25">
      <c r="A13" s="3" t="s">
        <v>12</v>
      </c>
      <c r="B13" s="9">
        <f>+B10*B12</f>
        <v>-6750000</v>
      </c>
      <c r="C13" s="9">
        <f t="shared" ref="C13:AE13" si="5">+C10*C12</f>
        <v>0</v>
      </c>
      <c r="D13" s="9">
        <f t="shared" si="5"/>
        <v>0</v>
      </c>
      <c r="E13" s="9">
        <f t="shared" si="5"/>
        <v>0</v>
      </c>
      <c r="F13" s="9">
        <f t="shared" si="5"/>
        <v>0</v>
      </c>
      <c r="G13" s="9">
        <f t="shared" si="5"/>
        <v>0</v>
      </c>
      <c r="H13" s="9">
        <f t="shared" si="5"/>
        <v>0</v>
      </c>
      <c r="I13" s="9">
        <f t="shared" si="5"/>
        <v>0</v>
      </c>
      <c r="J13" s="9">
        <f t="shared" si="5"/>
        <v>0</v>
      </c>
      <c r="K13" s="9">
        <f t="shared" si="5"/>
        <v>0</v>
      </c>
      <c r="L13" s="9">
        <f t="shared" si="5"/>
        <v>0</v>
      </c>
      <c r="M13" s="9">
        <f t="shared" si="5"/>
        <v>0</v>
      </c>
      <c r="N13" s="9">
        <f t="shared" si="5"/>
        <v>0</v>
      </c>
      <c r="O13" s="9">
        <f t="shared" si="5"/>
        <v>0</v>
      </c>
      <c r="P13" s="9">
        <f t="shared" si="5"/>
        <v>0</v>
      </c>
      <c r="Q13" s="9">
        <f t="shared" si="5"/>
        <v>0</v>
      </c>
      <c r="R13" s="9">
        <f t="shared" si="5"/>
        <v>0</v>
      </c>
      <c r="S13" s="9">
        <f t="shared" si="5"/>
        <v>0</v>
      </c>
      <c r="T13" s="9">
        <f t="shared" si="5"/>
        <v>0</v>
      </c>
      <c r="U13" s="9">
        <f t="shared" si="5"/>
        <v>0</v>
      </c>
      <c r="V13" s="9">
        <f t="shared" si="5"/>
        <v>0</v>
      </c>
      <c r="W13" s="9">
        <f t="shared" si="5"/>
        <v>0</v>
      </c>
      <c r="X13" s="9">
        <f t="shared" si="5"/>
        <v>0</v>
      </c>
      <c r="Y13" s="9">
        <f t="shared" si="5"/>
        <v>0</v>
      </c>
      <c r="Z13" s="9">
        <f t="shared" si="5"/>
        <v>0</v>
      </c>
      <c r="AA13" s="9">
        <f t="shared" si="5"/>
        <v>0</v>
      </c>
      <c r="AB13" s="9">
        <f t="shared" si="5"/>
        <v>0</v>
      </c>
      <c r="AC13" s="9">
        <f t="shared" si="5"/>
        <v>0</v>
      </c>
      <c r="AD13" s="9">
        <f t="shared" si="5"/>
        <v>0</v>
      </c>
      <c r="AE13" s="9">
        <f t="shared" si="5"/>
        <v>0</v>
      </c>
    </row>
    <row r="15" spans="1:31" x14ac:dyDescent="0.25">
      <c r="A15" s="6" t="s">
        <v>13</v>
      </c>
      <c r="B15" s="6" t="s">
        <v>14</v>
      </c>
      <c r="C15" s="2" t="s">
        <v>15</v>
      </c>
      <c r="D15" s="6" t="s">
        <v>16</v>
      </c>
      <c r="E15" s="6" t="s">
        <v>17</v>
      </c>
      <c r="F15" s="6" t="s">
        <v>18</v>
      </c>
    </row>
    <row r="16" spans="1:31" x14ac:dyDescent="0.25">
      <c r="A16" s="2" t="s">
        <v>78</v>
      </c>
      <c r="B16" s="5" t="s">
        <v>19</v>
      </c>
      <c r="C16" s="5">
        <v>-500000</v>
      </c>
      <c r="D16" s="5">
        <v>15</v>
      </c>
      <c r="E16" s="5">
        <f t="shared" ref="E16:E29" si="6">+C16*D16/100000</f>
        <v>-75</v>
      </c>
    </row>
    <row r="17" spans="1:6" x14ac:dyDescent="0.25">
      <c r="A17" s="2" t="s">
        <v>20</v>
      </c>
      <c r="B17" s="5" t="s">
        <v>21</v>
      </c>
      <c r="C17" s="5">
        <v>-15</v>
      </c>
      <c r="D17" s="5">
        <v>3604</v>
      </c>
      <c r="E17" s="26">
        <f t="shared" si="6"/>
        <v>-0.54059999999999997</v>
      </c>
    </row>
    <row r="18" spans="1:6" x14ac:dyDescent="0.25">
      <c r="A18" s="2" t="s">
        <v>22</v>
      </c>
      <c r="B18" s="5" t="s">
        <v>23</v>
      </c>
      <c r="C18" s="5">
        <v>-5</v>
      </c>
      <c r="D18" s="5">
        <v>10000</v>
      </c>
      <c r="E18" s="26">
        <f t="shared" si="6"/>
        <v>-0.5</v>
      </c>
    </row>
    <row r="19" spans="1:6" x14ac:dyDescent="0.25">
      <c r="A19" s="2" t="s">
        <v>24</v>
      </c>
      <c r="B19" s="5" t="s">
        <v>23</v>
      </c>
      <c r="C19" s="5">
        <v>-2</v>
      </c>
      <c r="D19" s="5">
        <v>60000</v>
      </c>
      <c r="E19" s="26">
        <f t="shared" si="6"/>
        <v>-1.2</v>
      </c>
    </row>
    <row r="20" spans="1:6" x14ac:dyDescent="0.25">
      <c r="A20" s="2" t="s">
        <v>25</v>
      </c>
      <c r="B20" s="5" t="s">
        <v>26</v>
      </c>
      <c r="C20" s="5">
        <v>-400000</v>
      </c>
      <c r="D20" s="5">
        <v>1</v>
      </c>
      <c r="E20" s="26">
        <f t="shared" si="6"/>
        <v>-4</v>
      </c>
    </row>
    <row r="21" spans="1:6" x14ac:dyDescent="0.25">
      <c r="A21" s="2" t="s">
        <v>79</v>
      </c>
      <c r="B21" s="5" t="s">
        <v>26</v>
      </c>
      <c r="C21" s="5">
        <v>-100000</v>
      </c>
      <c r="D21" s="5">
        <v>1</v>
      </c>
      <c r="E21" s="26">
        <f t="shared" si="6"/>
        <v>-1</v>
      </c>
    </row>
    <row r="22" spans="1:6" x14ac:dyDescent="0.25">
      <c r="A22" s="2" t="s">
        <v>27</v>
      </c>
      <c r="B22" s="5" t="s">
        <v>26</v>
      </c>
      <c r="C22" s="5">
        <v>-53500</v>
      </c>
      <c r="D22" s="5">
        <v>3</v>
      </c>
      <c r="E22" s="26">
        <f t="shared" si="6"/>
        <v>-1.605</v>
      </c>
    </row>
    <row r="23" spans="1:6" x14ac:dyDescent="0.25">
      <c r="A23" s="2" t="s">
        <v>28</v>
      </c>
      <c r="B23" s="5" t="s">
        <v>23</v>
      </c>
      <c r="C23" s="5">
        <v>-1500</v>
      </c>
      <c r="D23" s="5">
        <v>500</v>
      </c>
      <c r="E23" s="26">
        <f t="shared" si="6"/>
        <v>-7.5</v>
      </c>
      <c r="F23" s="2" t="s">
        <v>29</v>
      </c>
    </row>
    <row r="24" spans="1:6" x14ac:dyDescent="0.25">
      <c r="A24" s="2" t="s">
        <v>30</v>
      </c>
      <c r="B24" s="5" t="s">
        <v>23</v>
      </c>
      <c r="C24" s="5">
        <v>-800</v>
      </c>
      <c r="D24" s="5">
        <v>2000</v>
      </c>
      <c r="E24" s="26">
        <f t="shared" si="6"/>
        <v>-16</v>
      </c>
    </row>
    <row r="25" spans="1:6" x14ac:dyDescent="0.25">
      <c r="A25" s="2" t="s">
        <v>31</v>
      </c>
      <c r="B25" s="5" t="s">
        <v>26</v>
      </c>
      <c r="C25" s="5">
        <v>-650000</v>
      </c>
      <c r="D25" s="5">
        <v>1</v>
      </c>
      <c r="E25" s="26">
        <f t="shared" si="6"/>
        <v>-6.5</v>
      </c>
    </row>
    <row r="26" spans="1:6" x14ac:dyDescent="0.25">
      <c r="A26" s="2" t="s">
        <v>32</v>
      </c>
      <c r="B26" s="5" t="s">
        <v>33</v>
      </c>
      <c r="C26" s="5">
        <v>-100000</v>
      </c>
      <c r="D26" s="5">
        <v>1</v>
      </c>
      <c r="E26" s="26">
        <f t="shared" si="6"/>
        <v>-1</v>
      </c>
    </row>
    <row r="27" spans="1:6" x14ac:dyDescent="0.25">
      <c r="A27" s="2" t="s">
        <v>34</v>
      </c>
      <c r="B27" s="5" t="s">
        <v>35</v>
      </c>
      <c r="C27" s="5">
        <v>-50000</v>
      </c>
      <c r="D27" s="5">
        <v>15</v>
      </c>
      <c r="E27" s="26">
        <f t="shared" si="6"/>
        <v>-7.5</v>
      </c>
    </row>
    <row r="28" spans="1:6" x14ac:dyDescent="0.25">
      <c r="A28" s="2" t="s">
        <v>36</v>
      </c>
      <c r="B28" s="5" t="s">
        <v>35</v>
      </c>
      <c r="C28" s="5">
        <v>-20000</v>
      </c>
      <c r="D28" s="5">
        <v>15</v>
      </c>
      <c r="E28" s="26">
        <f t="shared" si="6"/>
        <v>-3</v>
      </c>
    </row>
    <row r="29" spans="1:6" x14ac:dyDescent="0.25">
      <c r="A29" s="2" t="s">
        <v>37</v>
      </c>
      <c r="B29" s="5" t="s">
        <v>26</v>
      </c>
      <c r="C29" s="5">
        <v>-6000</v>
      </c>
      <c r="D29" s="5">
        <v>15</v>
      </c>
      <c r="E29" s="26">
        <f t="shared" si="6"/>
        <v>-0.9</v>
      </c>
      <c r="F29" s="2" t="s">
        <v>38</v>
      </c>
    </row>
    <row r="30" spans="1:6" x14ac:dyDescent="0.25">
      <c r="A30" s="2" t="s">
        <v>12</v>
      </c>
      <c r="B30" s="5" t="s">
        <v>76</v>
      </c>
      <c r="C30" s="5"/>
      <c r="D30" s="5"/>
      <c r="E30" s="26">
        <f>SUM(B13:E13)/100000</f>
        <v>-67.5</v>
      </c>
      <c r="F30" s="5" t="s">
        <v>39</v>
      </c>
    </row>
    <row r="31" spans="1:6" x14ac:dyDescent="0.25">
      <c r="A31" s="2" t="s">
        <v>40</v>
      </c>
      <c r="B31" s="2" t="s">
        <v>41</v>
      </c>
      <c r="C31" s="5">
        <v>-400000</v>
      </c>
      <c r="D31" s="5">
        <v>1</v>
      </c>
      <c r="E31" s="26">
        <f>+C31*D31/100000</f>
        <v>-4</v>
      </c>
    </row>
    <row r="32" spans="1:6" x14ac:dyDescent="0.25">
      <c r="A32" s="2" t="s">
        <v>42</v>
      </c>
      <c r="B32" s="2" t="s">
        <v>35</v>
      </c>
      <c r="C32" s="5">
        <v>-15000</v>
      </c>
      <c r="D32" s="5">
        <v>15</v>
      </c>
      <c r="E32" s="26">
        <f>+C32*D32/100000</f>
        <v>-2.25</v>
      </c>
    </row>
    <row r="33" spans="1:32" x14ac:dyDescent="0.25">
      <c r="A33" s="2" t="s">
        <v>83</v>
      </c>
      <c r="C33" s="5"/>
      <c r="D33" s="5"/>
      <c r="E33" s="26">
        <v>-33</v>
      </c>
    </row>
    <row r="34" spans="1:32" s="3" customFormat="1" x14ac:dyDescent="0.25">
      <c r="A34" s="3" t="s">
        <v>43</v>
      </c>
      <c r="E34" s="27">
        <f>SUM(E16:E33)</f>
        <v>-232.99560000000002</v>
      </c>
    </row>
    <row r="35" spans="1:32" s="3" customFormat="1" x14ac:dyDescent="0.25">
      <c r="E35" s="10"/>
    </row>
    <row r="36" spans="1:32" s="3" customFormat="1" x14ac:dyDescent="0.25">
      <c r="A36" s="6" t="s">
        <v>44</v>
      </c>
      <c r="E36" s="10"/>
    </row>
    <row r="37" spans="1:32" s="3" customFormat="1" x14ac:dyDescent="0.25">
      <c r="A37" s="11" t="s">
        <v>45</v>
      </c>
      <c r="E37" s="10"/>
    </row>
    <row r="38" spans="1:32" s="3" customFormat="1" x14ac:dyDescent="0.25">
      <c r="A38" s="7" t="s">
        <v>46</v>
      </c>
      <c r="B38" s="5">
        <v>15</v>
      </c>
      <c r="C38" s="5">
        <v>15</v>
      </c>
      <c r="D38" s="5">
        <v>15</v>
      </c>
      <c r="E38" s="5">
        <v>15</v>
      </c>
      <c r="F38" s="5">
        <v>15</v>
      </c>
      <c r="G38" s="5">
        <v>15</v>
      </c>
      <c r="H38" s="5">
        <f>+G38</f>
        <v>15</v>
      </c>
      <c r="I38" s="5">
        <f t="shared" ref="I38:AE40" si="7">+H38</f>
        <v>15</v>
      </c>
      <c r="J38" s="5">
        <f t="shared" si="7"/>
        <v>15</v>
      </c>
      <c r="K38" s="5">
        <f t="shared" si="7"/>
        <v>15</v>
      </c>
      <c r="L38" s="5">
        <f t="shared" si="7"/>
        <v>15</v>
      </c>
      <c r="M38" s="5">
        <f t="shared" si="7"/>
        <v>15</v>
      </c>
      <c r="N38" s="5">
        <f t="shared" si="7"/>
        <v>15</v>
      </c>
      <c r="O38" s="5">
        <f t="shared" si="7"/>
        <v>15</v>
      </c>
      <c r="P38" s="5">
        <f t="shared" si="7"/>
        <v>15</v>
      </c>
      <c r="Q38" s="5">
        <f t="shared" si="7"/>
        <v>15</v>
      </c>
      <c r="R38" s="5">
        <f t="shared" si="7"/>
        <v>15</v>
      </c>
      <c r="S38" s="5">
        <f t="shared" si="7"/>
        <v>15</v>
      </c>
      <c r="T38" s="5">
        <f t="shared" si="7"/>
        <v>15</v>
      </c>
      <c r="U38" s="5">
        <f t="shared" si="7"/>
        <v>15</v>
      </c>
      <c r="V38" s="5">
        <f t="shared" si="7"/>
        <v>15</v>
      </c>
      <c r="W38" s="5">
        <f t="shared" si="7"/>
        <v>15</v>
      </c>
      <c r="X38" s="5">
        <f t="shared" si="7"/>
        <v>15</v>
      </c>
      <c r="Y38" s="5">
        <f t="shared" si="7"/>
        <v>15</v>
      </c>
      <c r="Z38" s="5">
        <f t="shared" si="7"/>
        <v>15</v>
      </c>
      <c r="AA38" s="5">
        <f t="shared" si="7"/>
        <v>15</v>
      </c>
      <c r="AB38" s="5">
        <f t="shared" si="7"/>
        <v>15</v>
      </c>
      <c r="AC38" s="5">
        <f t="shared" si="7"/>
        <v>15</v>
      </c>
      <c r="AD38" s="5">
        <f t="shared" si="7"/>
        <v>15</v>
      </c>
      <c r="AE38" s="5">
        <f t="shared" si="7"/>
        <v>15</v>
      </c>
    </row>
    <row r="39" spans="1:32" s="3" customFormat="1" x14ac:dyDescent="0.25">
      <c r="A39" s="7" t="s">
        <v>47</v>
      </c>
      <c r="B39" s="5">
        <v>0</v>
      </c>
      <c r="C39" s="5">
        <f>15*400</f>
        <v>6000</v>
      </c>
      <c r="D39" s="5">
        <f>15*2400</f>
        <v>36000</v>
      </c>
      <c r="E39" s="5">
        <f>15*6000</f>
        <v>90000</v>
      </c>
      <c r="F39" s="5">
        <f>15*8000</f>
        <v>120000</v>
      </c>
      <c r="G39" s="5">
        <f>15*10000</f>
        <v>150000</v>
      </c>
      <c r="H39" s="5">
        <v>150000</v>
      </c>
      <c r="I39" s="5">
        <v>150000</v>
      </c>
      <c r="J39" s="5">
        <f t="shared" si="7"/>
        <v>150000</v>
      </c>
      <c r="K39" s="5">
        <f t="shared" si="7"/>
        <v>150000</v>
      </c>
      <c r="L39" s="5">
        <f t="shared" si="7"/>
        <v>150000</v>
      </c>
      <c r="M39" s="5">
        <f t="shared" si="7"/>
        <v>150000</v>
      </c>
      <c r="N39" s="5">
        <f t="shared" si="7"/>
        <v>150000</v>
      </c>
      <c r="O39" s="5">
        <f t="shared" si="7"/>
        <v>150000</v>
      </c>
      <c r="P39" s="5">
        <f t="shared" si="7"/>
        <v>150000</v>
      </c>
      <c r="Q39" s="5">
        <f t="shared" si="7"/>
        <v>150000</v>
      </c>
      <c r="R39" s="5">
        <f t="shared" si="7"/>
        <v>150000</v>
      </c>
      <c r="S39" s="5">
        <f t="shared" si="7"/>
        <v>150000</v>
      </c>
      <c r="T39" s="5">
        <f t="shared" si="7"/>
        <v>150000</v>
      </c>
      <c r="U39" s="5">
        <f t="shared" si="7"/>
        <v>150000</v>
      </c>
      <c r="V39" s="5">
        <f t="shared" si="7"/>
        <v>150000</v>
      </c>
      <c r="W39" s="5">
        <f t="shared" si="7"/>
        <v>150000</v>
      </c>
      <c r="X39" s="5">
        <f t="shared" si="7"/>
        <v>150000</v>
      </c>
      <c r="Y39" s="5">
        <f t="shared" si="7"/>
        <v>150000</v>
      </c>
      <c r="Z39" s="5">
        <f t="shared" si="7"/>
        <v>150000</v>
      </c>
      <c r="AA39" s="5">
        <f t="shared" si="7"/>
        <v>150000</v>
      </c>
      <c r="AB39" s="5">
        <f t="shared" si="7"/>
        <v>150000</v>
      </c>
      <c r="AC39" s="5">
        <f t="shared" si="7"/>
        <v>150000</v>
      </c>
      <c r="AD39" s="5">
        <f t="shared" si="7"/>
        <v>150000</v>
      </c>
      <c r="AE39" s="5">
        <f t="shared" si="7"/>
        <v>150000</v>
      </c>
    </row>
    <row r="40" spans="1:32" s="3" customFormat="1" x14ac:dyDescent="0.25">
      <c r="A40" s="7" t="s">
        <v>48</v>
      </c>
      <c r="B40" s="5">
        <v>0</v>
      </c>
      <c r="C40" s="5">
        <v>100</v>
      </c>
      <c r="D40" s="5">
        <v>100</v>
      </c>
      <c r="E40" s="5">
        <v>100</v>
      </c>
      <c r="F40" s="5">
        <v>100</v>
      </c>
      <c r="G40" s="5">
        <v>100</v>
      </c>
      <c r="H40" s="5">
        <v>100</v>
      </c>
      <c r="I40" s="5">
        <v>100</v>
      </c>
      <c r="J40" s="5">
        <v>100</v>
      </c>
      <c r="K40" s="5">
        <v>100</v>
      </c>
      <c r="L40" s="5">
        <v>100</v>
      </c>
      <c r="M40" s="5">
        <f>+L40</f>
        <v>100</v>
      </c>
      <c r="N40" s="5">
        <f t="shared" si="7"/>
        <v>100</v>
      </c>
      <c r="O40" s="5">
        <f t="shared" si="7"/>
        <v>100</v>
      </c>
      <c r="P40" s="5">
        <f t="shared" si="7"/>
        <v>100</v>
      </c>
      <c r="Q40" s="5">
        <f t="shared" si="7"/>
        <v>100</v>
      </c>
      <c r="R40" s="5">
        <f t="shared" si="7"/>
        <v>100</v>
      </c>
      <c r="S40" s="5">
        <f t="shared" si="7"/>
        <v>100</v>
      </c>
      <c r="T40" s="5">
        <f t="shared" si="7"/>
        <v>100</v>
      </c>
      <c r="U40" s="5">
        <f t="shared" si="7"/>
        <v>100</v>
      </c>
      <c r="V40" s="5">
        <f t="shared" si="7"/>
        <v>100</v>
      </c>
      <c r="W40" s="5">
        <f t="shared" si="7"/>
        <v>100</v>
      </c>
      <c r="X40" s="5">
        <f t="shared" si="7"/>
        <v>100</v>
      </c>
      <c r="Y40" s="5">
        <f t="shared" si="7"/>
        <v>100</v>
      </c>
      <c r="Z40" s="5">
        <f t="shared" si="7"/>
        <v>100</v>
      </c>
      <c r="AA40" s="5">
        <f t="shared" si="7"/>
        <v>100</v>
      </c>
      <c r="AB40" s="5">
        <f t="shared" si="7"/>
        <v>100</v>
      </c>
      <c r="AC40" s="5">
        <f t="shared" si="7"/>
        <v>100</v>
      </c>
      <c r="AD40" s="5">
        <f t="shared" si="7"/>
        <v>100</v>
      </c>
      <c r="AE40" s="5">
        <f t="shared" si="7"/>
        <v>100</v>
      </c>
    </row>
    <row r="41" spans="1:32" s="3" customFormat="1" x14ac:dyDescent="0.25">
      <c r="A41" s="12" t="s">
        <v>49</v>
      </c>
      <c r="B41" s="5">
        <f>+B39*B40/100000</f>
        <v>0</v>
      </c>
      <c r="C41" s="5">
        <f>+C39*C40/100000</f>
        <v>6</v>
      </c>
      <c r="D41" s="5">
        <f t="shared" ref="D41:AE41" si="8">+D39*D40/100000</f>
        <v>36</v>
      </c>
      <c r="E41" s="5">
        <f t="shared" si="8"/>
        <v>90</v>
      </c>
      <c r="F41" s="5">
        <f t="shared" si="8"/>
        <v>120</v>
      </c>
      <c r="G41" s="5">
        <f t="shared" si="8"/>
        <v>150</v>
      </c>
      <c r="H41" s="5">
        <f t="shared" si="8"/>
        <v>150</v>
      </c>
      <c r="I41" s="5">
        <f t="shared" si="8"/>
        <v>150</v>
      </c>
      <c r="J41" s="5">
        <f t="shared" si="8"/>
        <v>150</v>
      </c>
      <c r="K41" s="5">
        <f t="shared" si="8"/>
        <v>150</v>
      </c>
      <c r="L41" s="5">
        <f t="shared" si="8"/>
        <v>150</v>
      </c>
      <c r="M41" s="5">
        <f t="shared" si="8"/>
        <v>150</v>
      </c>
      <c r="N41" s="5">
        <f t="shared" si="8"/>
        <v>150</v>
      </c>
      <c r="O41" s="5">
        <f t="shared" si="8"/>
        <v>150</v>
      </c>
      <c r="P41" s="5">
        <f t="shared" si="8"/>
        <v>150</v>
      </c>
      <c r="Q41" s="5">
        <f t="shared" si="8"/>
        <v>150</v>
      </c>
      <c r="R41" s="5">
        <f t="shared" si="8"/>
        <v>150</v>
      </c>
      <c r="S41" s="5">
        <f t="shared" si="8"/>
        <v>150</v>
      </c>
      <c r="T41" s="5">
        <f t="shared" si="8"/>
        <v>150</v>
      </c>
      <c r="U41" s="5">
        <f t="shared" si="8"/>
        <v>150</v>
      </c>
      <c r="V41" s="5">
        <f t="shared" si="8"/>
        <v>150</v>
      </c>
      <c r="W41" s="5">
        <f t="shared" si="8"/>
        <v>150</v>
      </c>
      <c r="X41" s="5">
        <f t="shared" si="8"/>
        <v>150</v>
      </c>
      <c r="Y41" s="5">
        <f t="shared" si="8"/>
        <v>150</v>
      </c>
      <c r="Z41" s="5">
        <f t="shared" si="8"/>
        <v>150</v>
      </c>
      <c r="AA41" s="5">
        <f t="shared" si="8"/>
        <v>150</v>
      </c>
      <c r="AB41" s="5">
        <f t="shared" si="8"/>
        <v>150</v>
      </c>
      <c r="AC41" s="5">
        <f t="shared" si="8"/>
        <v>150</v>
      </c>
      <c r="AD41" s="5">
        <f t="shared" si="8"/>
        <v>150</v>
      </c>
      <c r="AE41" s="5">
        <f t="shared" si="8"/>
        <v>150</v>
      </c>
    </row>
    <row r="42" spans="1:32" s="3" customFormat="1" x14ac:dyDescent="0.25">
      <c r="A42" s="11"/>
      <c r="E42" s="10"/>
    </row>
    <row r="43" spans="1:32" s="3" customFormat="1" x14ac:dyDescent="0.25">
      <c r="A43" s="12" t="s">
        <v>50</v>
      </c>
      <c r="C43" s="5">
        <f>C41</f>
        <v>6</v>
      </c>
      <c r="D43" s="5">
        <f t="shared" ref="D43:AE43" si="9">D41</f>
        <v>36</v>
      </c>
      <c r="E43" s="5">
        <f t="shared" si="9"/>
        <v>90</v>
      </c>
      <c r="F43" s="5">
        <f t="shared" si="9"/>
        <v>120</v>
      </c>
      <c r="G43" s="5">
        <f t="shared" si="9"/>
        <v>150</v>
      </c>
      <c r="H43" s="5">
        <f t="shared" si="9"/>
        <v>150</v>
      </c>
      <c r="I43" s="5">
        <f t="shared" si="9"/>
        <v>150</v>
      </c>
      <c r="J43" s="5">
        <f t="shared" si="9"/>
        <v>150</v>
      </c>
      <c r="K43" s="5">
        <f t="shared" si="9"/>
        <v>150</v>
      </c>
      <c r="L43" s="5">
        <f t="shared" si="9"/>
        <v>150</v>
      </c>
      <c r="M43" s="5">
        <f t="shared" si="9"/>
        <v>150</v>
      </c>
      <c r="N43" s="5">
        <f t="shared" si="9"/>
        <v>150</v>
      </c>
      <c r="O43" s="5">
        <f t="shared" si="9"/>
        <v>150</v>
      </c>
      <c r="P43" s="5">
        <f t="shared" si="9"/>
        <v>150</v>
      </c>
      <c r="Q43" s="5">
        <f t="shared" si="9"/>
        <v>150</v>
      </c>
      <c r="R43" s="5">
        <f t="shared" si="9"/>
        <v>150</v>
      </c>
      <c r="S43" s="5">
        <f t="shared" si="9"/>
        <v>150</v>
      </c>
      <c r="T43" s="5">
        <f t="shared" si="9"/>
        <v>150</v>
      </c>
      <c r="U43" s="5">
        <f t="shared" si="9"/>
        <v>150</v>
      </c>
      <c r="V43" s="5">
        <f t="shared" si="9"/>
        <v>150</v>
      </c>
      <c r="W43" s="5">
        <f t="shared" si="9"/>
        <v>150</v>
      </c>
      <c r="X43" s="5">
        <f t="shared" si="9"/>
        <v>150</v>
      </c>
      <c r="Y43" s="5">
        <f t="shared" si="9"/>
        <v>150</v>
      </c>
      <c r="Z43" s="5">
        <f t="shared" si="9"/>
        <v>150</v>
      </c>
      <c r="AA43" s="5">
        <f t="shared" si="9"/>
        <v>150</v>
      </c>
      <c r="AB43" s="5">
        <f t="shared" si="9"/>
        <v>150</v>
      </c>
      <c r="AC43" s="5">
        <f t="shared" si="9"/>
        <v>150</v>
      </c>
      <c r="AD43" s="5">
        <f t="shared" si="9"/>
        <v>150</v>
      </c>
      <c r="AE43" s="5">
        <f t="shared" si="9"/>
        <v>150</v>
      </c>
      <c r="AF43" s="5"/>
    </row>
    <row r="45" spans="1:32" x14ac:dyDescent="0.25">
      <c r="A45" s="6"/>
    </row>
    <row r="46" spans="1:32" x14ac:dyDescent="0.25">
      <c r="A46" s="2" t="s">
        <v>51</v>
      </c>
      <c r="B46" s="5"/>
      <c r="C46" s="5">
        <v>-35000</v>
      </c>
      <c r="D46" s="5">
        <v>-35000</v>
      </c>
      <c r="E46" s="5">
        <v>-35000</v>
      </c>
      <c r="F46" s="5">
        <v>-35000</v>
      </c>
      <c r="G46" s="5">
        <v>-55000</v>
      </c>
      <c r="H46" s="5">
        <v>-55000</v>
      </c>
      <c r="I46" s="5">
        <v>-55000</v>
      </c>
      <c r="J46" s="5">
        <v>-55000</v>
      </c>
      <c r="K46" s="5">
        <v>-55000</v>
      </c>
      <c r="L46" s="5">
        <v>-90000</v>
      </c>
      <c r="M46" s="5">
        <v>-90000</v>
      </c>
      <c r="N46" s="5">
        <v>-90000</v>
      </c>
      <c r="O46" s="5">
        <v>-90000</v>
      </c>
      <c r="P46" s="5">
        <v>-90000</v>
      </c>
      <c r="Q46" s="5">
        <v>-100000</v>
      </c>
      <c r="R46" s="5">
        <v>-100000</v>
      </c>
      <c r="S46" s="5">
        <v>-100000</v>
      </c>
      <c r="T46" s="5">
        <v>-100000</v>
      </c>
      <c r="U46" s="5">
        <v>-100000</v>
      </c>
      <c r="V46" s="5">
        <v>-110000</v>
      </c>
      <c r="W46" s="5">
        <v>-110000</v>
      </c>
      <c r="X46" s="5">
        <v>-110000</v>
      </c>
      <c r="Y46" s="5">
        <v>-110000</v>
      </c>
      <c r="Z46" s="5">
        <v>-120000</v>
      </c>
      <c r="AA46" s="5">
        <v>-120000</v>
      </c>
      <c r="AB46" s="5">
        <v>-120000</v>
      </c>
      <c r="AC46" s="5">
        <v>-120000</v>
      </c>
      <c r="AD46" s="5">
        <v>-130000</v>
      </c>
      <c r="AE46" s="5">
        <v>-130000</v>
      </c>
    </row>
    <row r="47" spans="1:32" x14ac:dyDescent="0.25">
      <c r="A47" s="7" t="s">
        <v>52</v>
      </c>
      <c r="B47" s="5"/>
      <c r="C47" s="5">
        <f>+(C46*15)/100000</f>
        <v>-5.25</v>
      </c>
      <c r="D47" s="5">
        <f t="shared" ref="D47:AE47" si="10">+(D38)*D46/100000</f>
        <v>-5.25</v>
      </c>
      <c r="E47" s="5">
        <f t="shared" si="10"/>
        <v>-5.25</v>
      </c>
      <c r="F47" s="5">
        <f t="shared" si="10"/>
        <v>-5.25</v>
      </c>
      <c r="G47" s="5">
        <f t="shared" si="10"/>
        <v>-8.25</v>
      </c>
      <c r="H47" s="5">
        <f t="shared" si="10"/>
        <v>-8.25</v>
      </c>
      <c r="I47" s="5">
        <f t="shared" si="10"/>
        <v>-8.25</v>
      </c>
      <c r="J47" s="5">
        <f t="shared" si="10"/>
        <v>-8.25</v>
      </c>
      <c r="K47" s="5">
        <f t="shared" si="10"/>
        <v>-8.25</v>
      </c>
      <c r="L47" s="5">
        <f t="shared" si="10"/>
        <v>-13.5</v>
      </c>
      <c r="M47" s="5">
        <f t="shared" si="10"/>
        <v>-13.5</v>
      </c>
      <c r="N47" s="5">
        <f t="shared" si="10"/>
        <v>-13.5</v>
      </c>
      <c r="O47" s="5">
        <f t="shared" si="10"/>
        <v>-13.5</v>
      </c>
      <c r="P47" s="5">
        <f t="shared" si="10"/>
        <v>-13.5</v>
      </c>
      <c r="Q47" s="5">
        <f t="shared" si="10"/>
        <v>-15</v>
      </c>
      <c r="R47" s="5">
        <f t="shared" si="10"/>
        <v>-15</v>
      </c>
      <c r="S47" s="5">
        <f t="shared" si="10"/>
        <v>-15</v>
      </c>
      <c r="T47" s="5">
        <f t="shared" si="10"/>
        <v>-15</v>
      </c>
      <c r="U47" s="5">
        <f t="shared" si="10"/>
        <v>-15</v>
      </c>
      <c r="V47" s="5">
        <f t="shared" si="10"/>
        <v>-16.5</v>
      </c>
      <c r="W47" s="5">
        <f t="shared" si="10"/>
        <v>-16.5</v>
      </c>
      <c r="X47" s="5">
        <f t="shared" si="10"/>
        <v>-16.5</v>
      </c>
      <c r="Y47" s="5">
        <f t="shared" si="10"/>
        <v>-16.5</v>
      </c>
      <c r="Z47" s="5">
        <f t="shared" si="10"/>
        <v>-18</v>
      </c>
      <c r="AA47" s="5">
        <f t="shared" si="10"/>
        <v>-18</v>
      </c>
      <c r="AB47" s="5">
        <f t="shared" si="10"/>
        <v>-18</v>
      </c>
      <c r="AC47" s="5">
        <f t="shared" si="10"/>
        <v>-18</v>
      </c>
      <c r="AD47" s="5">
        <f t="shared" si="10"/>
        <v>-19.5</v>
      </c>
      <c r="AE47" s="5">
        <f t="shared" si="10"/>
        <v>-19.5</v>
      </c>
    </row>
    <row r="48" spans="1:32" x14ac:dyDescent="0.25">
      <c r="C48" s="13"/>
    </row>
    <row r="49" spans="1:31" s="16" customFormat="1" x14ac:dyDescent="0.25">
      <c r="A49" s="14" t="s">
        <v>53</v>
      </c>
      <c r="B49" s="15">
        <f t="shared" ref="B49:AE49" si="11">+B41</f>
        <v>0</v>
      </c>
      <c r="C49" s="15">
        <f t="shared" si="11"/>
        <v>6</v>
      </c>
      <c r="D49" s="15">
        <f t="shared" si="11"/>
        <v>36</v>
      </c>
      <c r="E49" s="15">
        <f t="shared" si="11"/>
        <v>90</v>
      </c>
      <c r="F49" s="15">
        <f t="shared" si="11"/>
        <v>120</v>
      </c>
      <c r="G49" s="15">
        <f t="shared" si="11"/>
        <v>150</v>
      </c>
      <c r="H49" s="15">
        <f t="shared" si="11"/>
        <v>150</v>
      </c>
      <c r="I49" s="15">
        <f t="shared" si="11"/>
        <v>150</v>
      </c>
      <c r="J49" s="15">
        <f t="shared" si="11"/>
        <v>150</v>
      </c>
      <c r="K49" s="15">
        <f t="shared" si="11"/>
        <v>150</v>
      </c>
      <c r="L49" s="15">
        <f t="shared" si="11"/>
        <v>150</v>
      </c>
      <c r="M49" s="15">
        <f t="shared" si="11"/>
        <v>150</v>
      </c>
      <c r="N49" s="15">
        <f t="shared" si="11"/>
        <v>150</v>
      </c>
      <c r="O49" s="15">
        <f t="shared" si="11"/>
        <v>150</v>
      </c>
      <c r="P49" s="15">
        <f t="shared" si="11"/>
        <v>150</v>
      </c>
      <c r="Q49" s="15">
        <f t="shared" si="11"/>
        <v>150</v>
      </c>
      <c r="R49" s="15">
        <f t="shared" si="11"/>
        <v>150</v>
      </c>
      <c r="S49" s="15">
        <f t="shared" si="11"/>
        <v>150</v>
      </c>
      <c r="T49" s="15">
        <f t="shared" si="11"/>
        <v>150</v>
      </c>
      <c r="U49" s="15">
        <f t="shared" si="11"/>
        <v>150</v>
      </c>
      <c r="V49" s="15">
        <f t="shared" si="11"/>
        <v>150</v>
      </c>
      <c r="W49" s="15">
        <f t="shared" si="11"/>
        <v>150</v>
      </c>
      <c r="X49" s="15">
        <f t="shared" si="11"/>
        <v>150</v>
      </c>
      <c r="Y49" s="15">
        <f t="shared" si="11"/>
        <v>150</v>
      </c>
      <c r="Z49" s="15">
        <f t="shared" si="11"/>
        <v>150</v>
      </c>
      <c r="AA49" s="15">
        <f t="shared" si="11"/>
        <v>150</v>
      </c>
      <c r="AB49" s="15">
        <f t="shared" si="11"/>
        <v>150</v>
      </c>
      <c r="AC49" s="15">
        <f t="shared" si="11"/>
        <v>150</v>
      </c>
      <c r="AD49" s="15">
        <f t="shared" si="11"/>
        <v>150</v>
      </c>
      <c r="AE49" s="15">
        <f t="shared" si="11"/>
        <v>150</v>
      </c>
    </row>
    <row r="50" spans="1:31" s="18" customFormat="1" x14ac:dyDescent="0.25">
      <c r="A50" s="17" t="s">
        <v>54</v>
      </c>
      <c r="C50" s="19"/>
      <c r="D50" s="19">
        <f>+D49/C49-1</f>
        <v>5</v>
      </c>
      <c r="E50" s="19">
        <f t="shared" ref="E50:AE50" si="12">+E49/D49-1</f>
        <v>1.5</v>
      </c>
      <c r="F50" s="19">
        <f t="shared" si="12"/>
        <v>0.33333333333333326</v>
      </c>
      <c r="G50" s="19">
        <f t="shared" si="12"/>
        <v>0.25</v>
      </c>
      <c r="H50" s="19">
        <f t="shared" si="12"/>
        <v>0</v>
      </c>
      <c r="I50" s="19">
        <f t="shared" si="12"/>
        <v>0</v>
      </c>
      <c r="J50" s="19">
        <f t="shared" si="12"/>
        <v>0</v>
      </c>
      <c r="K50" s="19">
        <f t="shared" si="12"/>
        <v>0</v>
      </c>
      <c r="L50" s="19">
        <f t="shared" si="12"/>
        <v>0</v>
      </c>
      <c r="M50" s="19">
        <f t="shared" si="12"/>
        <v>0</v>
      </c>
      <c r="N50" s="19">
        <f t="shared" si="12"/>
        <v>0</v>
      </c>
      <c r="O50" s="19">
        <f t="shared" si="12"/>
        <v>0</v>
      </c>
      <c r="P50" s="19">
        <f t="shared" si="12"/>
        <v>0</v>
      </c>
      <c r="Q50" s="19">
        <f t="shared" si="12"/>
        <v>0</v>
      </c>
      <c r="R50" s="19">
        <f t="shared" si="12"/>
        <v>0</v>
      </c>
      <c r="S50" s="19">
        <f t="shared" si="12"/>
        <v>0</v>
      </c>
      <c r="T50" s="19">
        <f t="shared" si="12"/>
        <v>0</v>
      </c>
      <c r="U50" s="19">
        <f t="shared" si="12"/>
        <v>0</v>
      </c>
      <c r="V50" s="19">
        <f t="shared" si="12"/>
        <v>0</v>
      </c>
      <c r="W50" s="19">
        <f t="shared" si="12"/>
        <v>0</v>
      </c>
      <c r="X50" s="19">
        <f t="shared" si="12"/>
        <v>0</v>
      </c>
      <c r="Y50" s="19">
        <f t="shared" si="12"/>
        <v>0</v>
      </c>
      <c r="Z50" s="19">
        <f t="shared" si="12"/>
        <v>0</v>
      </c>
      <c r="AA50" s="19">
        <f t="shared" si="12"/>
        <v>0</v>
      </c>
      <c r="AB50" s="19">
        <f t="shared" si="12"/>
        <v>0</v>
      </c>
      <c r="AC50" s="19">
        <f t="shared" si="12"/>
        <v>0</v>
      </c>
      <c r="AD50" s="19">
        <f t="shared" si="12"/>
        <v>0</v>
      </c>
      <c r="AE50" s="19">
        <f t="shared" si="12"/>
        <v>0</v>
      </c>
    </row>
    <row r="51" spans="1:31" s="18" customFormat="1" x14ac:dyDescent="0.25">
      <c r="A51" s="20" t="s">
        <v>55</v>
      </c>
      <c r="B51" s="21">
        <f>+B49</f>
        <v>0</v>
      </c>
      <c r="C51" s="21">
        <f>+C49</f>
        <v>6</v>
      </c>
      <c r="D51" s="21">
        <f t="shared" ref="D51:AE51" si="13">+D49</f>
        <v>36</v>
      </c>
      <c r="E51" s="21">
        <f t="shared" si="13"/>
        <v>90</v>
      </c>
      <c r="F51" s="21">
        <f t="shared" si="13"/>
        <v>120</v>
      </c>
      <c r="G51" s="21">
        <f t="shared" si="13"/>
        <v>150</v>
      </c>
      <c r="H51" s="21">
        <f t="shared" si="13"/>
        <v>150</v>
      </c>
      <c r="I51" s="21">
        <f t="shared" si="13"/>
        <v>150</v>
      </c>
      <c r="J51" s="21">
        <f t="shared" si="13"/>
        <v>150</v>
      </c>
      <c r="K51" s="21">
        <f t="shared" si="13"/>
        <v>150</v>
      </c>
      <c r="L51" s="21">
        <f t="shared" si="13"/>
        <v>150</v>
      </c>
      <c r="M51" s="21">
        <f t="shared" si="13"/>
        <v>150</v>
      </c>
      <c r="N51" s="21">
        <f t="shared" si="13"/>
        <v>150</v>
      </c>
      <c r="O51" s="21">
        <f t="shared" si="13"/>
        <v>150</v>
      </c>
      <c r="P51" s="21">
        <f t="shared" si="13"/>
        <v>150</v>
      </c>
      <c r="Q51" s="21">
        <f t="shared" si="13"/>
        <v>150</v>
      </c>
      <c r="R51" s="21">
        <f t="shared" si="13"/>
        <v>150</v>
      </c>
      <c r="S51" s="21">
        <f t="shared" si="13"/>
        <v>150</v>
      </c>
      <c r="T51" s="21">
        <f t="shared" si="13"/>
        <v>150</v>
      </c>
      <c r="U51" s="21">
        <f t="shared" si="13"/>
        <v>150</v>
      </c>
      <c r="V51" s="21">
        <f t="shared" si="13"/>
        <v>150</v>
      </c>
      <c r="W51" s="21">
        <f t="shared" si="13"/>
        <v>150</v>
      </c>
      <c r="X51" s="21">
        <f t="shared" si="13"/>
        <v>150</v>
      </c>
      <c r="Y51" s="21">
        <f t="shared" si="13"/>
        <v>150</v>
      </c>
      <c r="Z51" s="21">
        <f t="shared" si="13"/>
        <v>150</v>
      </c>
      <c r="AA51" s="21">
        <f t="shared" si="13"/>
        <v>150</v>
      </c>
      <c r="AB51" s="21">
        <f t="shared" si="13"/>
        <v>150</v>
      </c>
      <c r="AC51" s="21">
        <f t="shared" si="13"/>
        <v>150</v>
      </c>
      <c r="AD51" s="21">
        <f t="shared" si="13"/>
        <v>150</v>
      </c>
      <c r="AE51" s="21">
        <f t="shared" si="13"/>
        <v>150</v>
      </c>
    </row>
    <row r="53" spans="1:31" x14ac:dyDescent="0.25">
      <c r="A53" s="3" t="s">
        <v>56</v>
      </c>
      <c r="B53" s="22">
        <f t="shared" ref="B53:AE53" si="14">+B7</f>
        <v>44621</v>
      </c>
      <c r="C53" s="22">
        <f t="shared" si="14"/>
        <v>44986</v>
      </c>
      <c r="D53" s="22">
        <f t="shared" si="14"/>
        <v>45352</v>
      </c>
      <c r="E53" s="22">
        <f t="shared" si="14"/>
        <v>45717</v>
      </c>
      <c r="F53" s="22">
        <f t="shared" si="14"/>
        <v>46082</v>
      </c>
      <c r="G53" s="22">
        <f t="shared" si="14"/>
        <v>46447</v>
      </c>
      <c r="H53" s="22">
        <f t="shared" si="14"/>
        <v>46813</v>
      </c>
      <c r="I53" s="22">
        <f t="shared" si="14"/>
        <v>47178</v>
      </c>
      <c r="J53" s="22">
        <f t="shared" si="14"/>
        <v>47543</v>
      </c>
      <c r="K53" s="22">
        <f t="shared" si="14"/>
        <v>47908</v>
      </c>
      <c r="L53" s="22">
        <f t="shared" si="14"/>
        <v>48274</v>
      </c>
      <c r="M53" s="22">
        <f t="shared" si="14"/>
        <v>48639</v>
      </c>
      <c r="N53" s="22">
        <f t="shared" si="14"/>
        <v>49004</v>
      </c>
      <c r="O53" s="22">
        <f t="shared" si="14"/>
        <v>49369</v>
      </c>
      <c r="P53" s="22">
        <f t="shared" si="14"/>
        <v>49735</v>
      </c>
      <c r="Q53" s="22">
        <f t="shared" si="14"/>
        <v>50100</v>
      </c>
      <c r="R53" s="22">
        <f t="shared" si="14"/>
        <v>50465</v>
      </c>
      <c r="S53" s="22">
        <f t="shared" si="14"/>
        <v>50830</v>
      </c>
      <c r="T53" s="22">
        <f t="shared" si="14"/>
        <v>51196</v>
      </c>
      <c r="U53" s="22">
        <f t="shared" si="14"/>
        <v>51561</v>
      </c>
      <c r="V53" s="22">
        <f t="shared" si="14"/>
        <v>51926</v>
      </c>
      <c r="W53" s="22">
        <f t="shared" si="14"/>
        <v>52291</v>
      </c>
      <c r="X53" s="22">
        <f t="shared" si="14"/>
        <v>52657</v>
      </c>
      <c r="Y53" s="22">
        <f t="shared" si="14"/>
        <v>53022</v>
      </c>
      <c r="Z53" s="22">
        <f t="shared" si="14"/>
        <v>53387</v>
      </c>
      <c r="AA53" s="22">
        <f t="shared" si="14"/>
        <v>53752</v>
      </c>
      <c r="AB53" s="22">
        <f t="shared" si="14"/>
        <v>54118</v>
      </c>
      <c r="AC53" s="22">
        <f t="shared" si="14"/>
        <v>54483</v>
      </c>
      <c r="AD53" s="22">
        <f t="shared" si="14"/>
        <v>54848</v>
      </c>
      <c r="AE53" s="22">
        <f t="shared" si="14"/>
        <v>55213</v>
      </c>
    </row>
    <row r="54" spans="1:31" x14ac:dyDescent="0.25">
      <c r="A54" s="2" t="s">
        <v>5</v>
      </c>
      <c r="B54" s="2">
        <v>0</v>
      </c>
      <c r="C54" s="2">
        <f>+B54+1</f>
        <v>1</v>
      </c>
      <c r="D54" s="2">
        <f t="shared" ref="D54:AE54" si="15">+C54+1</f>
        <v>2</v>
      </c>
      <c r="E54" s="2">
        <f t="shared" si="15"/>
        <v>3</v>
      </c>
      <c r="F54" s="2">
        <f t="shared" si="15"/>
        <v>4</v>
      </c>
      <c r="G54" s="2">
        <f t="shared" si="15"/>
        <v>5</v>
      </c>
      <c r="H54" s="2">
        <f t="shared" si="15"/>
        <v>6</v>
      </c>
      <c r="I54" s="2">
        <f t="shared" si="15"/>
        <v>7</v>
      </c>
      <c r="J54" s="2">
        <f t="shared" si="15"/>
        <v>8</v>
      </c>
      <c r="K54" s="2">
        <f t="shared" si="15"/>
        <v>9</v>
      </c>
      <c r="L54" s="2">
        <f t="shared" si="15"/>
        <v>10</v>
      </c>
      <c r="M54" s="2">
        <f t="shared" si="15"/>
        <v>11</v>
      </c>
      <c r="N54" s="2">
        <f t="shared" si="15"/>
        <v>12</v>
      </c>
      <c r="O54" s="2">
        <f t="shared" si="15"/>
        <v>13</v>
      </c>
      <c r="P54" s="2">
        <f t="shared" si="15"/>
        <v>14</v>
      </c>
      <c r="Q54" s="2">
        <f t="shared" si="15"/>
        <v>15</v>
      </c>
      <c r="R54" s="2">
        <f t="shared" si="15"/>
        <v>16</v>
      </c>
      <c r="S54" s="2">
        <f t="shared" si="15"/>
        <v>17</v>
      </c>
      <c r="T54" s="2">
        <f t="shared" si="15"/>
        <v>18</v>
      </c>
      <c r="U54" s="2">
        <f t="shared" si="15"/>
        <v>19</v>
      </c>
      <c r="V54" s="2">
        <f t="shared" si="15"/>
        <v>20</v>
      </c>
      <c r="W54" s="2">
        <f t="shared" si="15"/>
        <v>21</v>
      </c>
      <c r="X54" s="2">
        <f t="shared" si="15"/>
        <v>22</v>
      </c>
      <c r="Y54" s="2">
        <f t="shared" si="15"/>
        <v>23</v>
      </c>
      <c r="Z54" s="2">
        <f t="shared" si="15"/>
        <v>24</v>
      </c>
      <c r="AA54" s="2">
        <f t="shared" si="15"/>
        <v>25</v>
      </c>
      <c r="AB54" s="2">
        <f t="shared" si="15"/>
        <v>26</v>
      </c>
      <c r="AC54" s="2">
        <f t="shared" si="15"/>
        <v>27</v>
      </c>
      <c r="AD54" s="2">
        <f t="shared" si="15"/>
        <v>28</v>
      </c>
      <c r="AE54" s="2">
        <f t="shared" si="15"/>
        <v>29</v>
      </c>
    </row>
    <row r="55" spans="1:31" x14ac:dyDescent="0.25">
      <c r="A55" s="3" t="s">
        <v>57</v>
      </c>
    </row>
    <row r="56" spans="1:31" x14ac:dyDescent="0.25">
      <c r="A56" s="7" t="s">
        <v>58</v>
      </c>
      <c r="B56" s="8">
        <f>+E34</f>
        <v>-232.99560000000002</v>
      </c>
      <c r="H56" s="8"/>
      <c r="M56" s="8"/>
      <c r="R56" s="8"/>
      <c r="W56" s="8"/>
      <c r="AB56" s="8"/>
    </row>
    <row r="57" spans="1:31" x14ac:dyDescent="0.25">
      <c r="A57" s="7"/>
      <c r="B57" s="8"/>
      <c r="H57" s="8"/>
      <c r="M57" s="8"/>
      <c r="R57" s="8"/>
      <c r="W57" s="8"/>
      <c r="AB57" s="8"/>
    </row>
    <row r="58" spans="1:31" x14ac:dyDescent="0.25">
      <c r="A58" s="2" t="s">
        <v>59</v>
      </c>
    </row>
    <row r="59" spans="1:31" x14ac:dyDescent="0.25">
      <c r="A59" s="7" t="s">
        <v>60</v>
      </c>
      <c r="B59" s="8">
        <f>+B43+B47</f>
        <v>0</v>
      </c>
      <c r="C59" s="8">
        <f>+C43+C47</f>
        <v>0.75</v>
      </c>
      <c r="D59" s="8">
        <f>+D43+D47</f>
        <v>30.75</v>
      </c>
      <c r="E59" s="8">
        <f>+E43+E47</f>
        <v>84.75</v>
      </c>
      <c r="F59" s="8">
        <f>+F43+F47</f>
        <v>114.75</v>
      </c>
      <c r="G59" s="8">
        <f>+G43+G47</f>
        <v>141.75</v>
      </c>
      <c r="H59" s="8">
        <f>+H43+H47</f>
        <v>141.75</v>
      </c>
      <c r="I59" s="8">
        <f>+I43+I47</f>
        <v>141.75</v>
      </c>
      <c r="J59" s="8">
        <f>+J43+J47</f>
        <v>141.75</v>
      </c>
      <c r="K59" s="8">
        <f>+K43+K47</f>
        <v>141.75</v>
      </c>
      <c r="L59" s="8">
        <f>+L43+L47</f>
        <v>136.5</v>
      </c>
      <c r="M59" s="8">
        <f>+M43+M47</f>
        <v>136.5</v>
      </c>
      <c r="N59" s="8">
        <f>+N43+N47</f>
        <v>136.5</v>
      </c>
      <c r="O59" s="8">
        <f>+O43+O47</f>
        <v>136.5</v>
      </c>
      <c r="P59" s="8">
        <f>+P43+P47</f>
        <v>136.5</v>
      </c>
      <c r="Q59" s="8">
        <f>+Q43+Q47</f>
        <v>135</v>
      </c>
      <c r="R59" s="8">
        <f>+R43+R47</f>
        <v>135</v>
      </c>
      <c r="S59" s="8">
        <f>+S43+S47</f>
        <v>135</v>
      </c>
      <c r="T59" s="8">
        <f>+T43+T47</f>
        <v>135</v>
      </c>
      <c r="U59" s="8">
        <f>+U43+U47</f>
        <v>135</v>
      </c>
      <c r="V59" s="8">
        <f>+V43+V47</f>
        <v>133.5</v>
      </c>
      <c r="W59" s="8">
        <f>+W43+W47</f>
        <v>133.5</v>
      </c>
      <c r="X59" s="8">
        <f>+X43+X47</f>
        <v>133.5</v>
      </c>
      <c r="Y59" s="8">
        <f>+Y43+Y47</f>
        <v>133.5</v>
      </c>
      <c r="Z59" s="8">
        <f>+Z43+Z47</f>
        <v>132</v>
      </c>
      <c r="AA59" s="8">
        <f>+AA43+AA47</f>
        <v>132</v>
      </c>
      <c r="AB59" s="8">
        <f>+AB43+AB47</f>
        <v>132</v>
      </c>
      <c r="AC59" s="8">
        <f>+AC43+AC47</f>
        <v>132</v>
      </c>
      <c r="AD59" s="8">
        <f>+AD43+AD47</f>
        <v>130.5</v>
      </c>
      <c r="AE59" s="8">
        <f>+AE43+AE47</f>
        <v>130.5</v>
      </c>
    </row>
    <row r="60" spans="1:31" x14ac:dyDescent="0.25">
      <c r="A60" s="7" t="s">
        <v>61</v>
      </c>
      <c r="B60" s="8">
        <v>-3</v>
      </c>
      <c r="C60" s="8">
        <v>-3</v>
      </c>
      <c r="D60" s="8">
        <v>-6</v>
      </c>
      <c r="E60" s="8">
        <v>-10</v>
      </c>
      <c r="F60" s="8">
        <v>-10</v>
      </c>
      <c r="G60" s="8">
        <v>-10</v>
      </c>
      <c r="H60" s="8">
        <v>-10</v>
      </c>
      <c r="I60" s="8">
        <v>-10</v>
      </c>
      <c r="J60" s="8">
        <v>-10</v>
      </c>
      <c r="K60" s="8">
        <v>-15</v>
      </c>
      <c r="L60" s="8">
        <v>-15</v>
      </c>
      <c r="M60" s="8">
        <v>-15</v>
      </c>
      <c r="N60" s="8">
        <v>-15</v>
      </c>
      <c r="O60" s="8">
        <v>-15</v>
      </c>
      <c r="P60" s="8">
        <v>-15</v>
      </c>
      <c r="Q60" s="8">
        <v>-15</v>
      </c>
      <c r="R60" s="8">
        <v>-15</v>
      </c>
      <c r="S60" s="8">
        <v>-15</v>
      </c>
      <c r="T60" s="8">
        <v>-15</v>
      </c>
      <c r="U60" s="8">
        <v>-20</v>
      </c>
      <c r="V60" s="8">
        <v>-20</v>
      </c>
      <c r="W60" s="8">
        <v>-20</v>
      </c>
      <c r="X60" s="8">
        <v>-20</v>
      </c>
      <c r="Y60" s="8">
        <v>-20</v>
      </c>
      <c r="Z60" s="8">
        <v>-20</v>
      </c>
      <c r="AA60" s="8">
        <v>-20</v>
      </c>
      <c r="AB60" s="8">
        <v>-20</v>
      </c>
      <c r="AC60" s="8">
        <v>-20</v>
      </c>
      <c r="AD60" s="8">
        <v>-30</v>
      </c>
      <c r="AE60" s="8">
        <v>-30</v>
      </c>
    </row>
    <row r="61" spans="1:31" x14ac:dyDescent="0.25">
      <c r="A61" s="7" t="s">
        <v>84</v>
      </c>
      <c r="B61" s="8">
        <v>17</v>
      </c>
      <c r="C61" s="8">
        <v>16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25">
      <c r="A62" s="12" t="s">
        <v>62</v>
      </c>
      <c r="B62" s="8">
        <f>+B59+B60</f>
        <v>-3</v>
      </c>
      <c r="C62" s="8">
        <f>+C59+C60</f>
        <v>-2.25</v>
      </c>
      <c r="D62" s="8">
        <f t="shared" ref="D62:AD62" si="16">+D59+D60</f>
        <v>24.75</v>
      </c>
      <c r="E62" s="8">
        <f t="shared" si="16"/>
        <v>74.75</v>
      </c>
      <c r="F62" s="8">
        <f t="shared" si="16"/>
        <v>104.75</v>
      </c>
      <c r="G62" s="8">
        <f>+G59+G60</f>
        <v>131.75</v>
      </c>
      <c r="H62" s="8">
        <f t="shared" si="16"/>
        <v>131.75</v>
      </c>
      <c r="I62" s="8">
        <f t="shared" si="16"/>
        <v>131.75</v>
      </c>
      <c r="J62" s="8">
        <f t="shared" si="16"/>
        <v>131.75</v>
      </c>
      <c r="K62" s="8">
        <f t="shared" si="16"/>
        <v>126.75</v>
      </c>
      <c r="L62" s="8">
        <f t="shared" si="16"/>
        <v>121.5</v>
      </c>
      <c r="M62" s="8">
        <f t="shared" si="16"/>
        <v>121.5</v>
      </c>
      <c r="N62" s="8">
        <f t="shared" si="16"/>
        <v>121.5</v>
      </c>
      <c r="O62" s="8">
        <f t="shared" si="16"/>
        <v>121.5</v>
      </c>
      <c r="P62" s="8">
        <f t="shared" si="16"/>
        <v>121.5</v>
      </c>
      <c r="Q62" s="8">
        <f t="shared" si="16"/>
        <v>120</v>
      </c>
      <c r="R62" s="8">
        <f t="shared" si="16"/>
        <v>120</v>
      </c>
      <c r="S62" s="8">
        <f t="shared" si="16"/>
        <v>120</v>
      </c>
      <c r="T62" s="8">
        <f t="shared" si="16"/>
        <v>120</v>
      </c>
      <c r="U62" s="8">
        <f t="shared" si="16"/>
        <v>115</v>
      </c>
      <c r="V62" s="8">
        <f t="shared" si="16"/>
        <v>113.5</v>
      </c>
      <c r="W62" s="8">
        <f t="shared" si="16"/>
        <v>113.5</v>
      </c>
      <c r="X62" s="8">
        <f t="shared" si="16"/>
        <v>113.5</v>
      </c>
      <c r="Y62" s="8">
        <f t="shared" si="16"/>
        <v>113.5</v>
      </c>
      <c r="Z62" s="8">
        <f t="shared" si="16"/>
        <v>112</v>
      </c>
      <c r="AA62" s="8">
        <f t="shared" si="16"/>
        <v>112</v>
      </c>
      <c r="AB62" s="8">
        <f t="shared" si="16"/>
        <v>112</v>
      </c>
      <c r="AC62" s="8">
        <f t="shared" si="16"/>
        <v>112</v>
      </c>
      <c r="AD62" s="8">
        <f t="shared" si="16"/>
        <v>100.5</v>
      </c>
      <c r="AE62" s="8">
        <f>+AE59+AE60</f>
        <v>100.5</v>
      </c>
    </row>
    <row r="63" spans="1:31" x14ac:dyDescent="0.25">
      <c r="A63" s="7" t="s">
        <v>63</v>
      </c>
      <c r="B63" s="8">
        <f>+B79</f>
        <v>-14</v>
      </c>
      <c r="C63" s="8">
        <f t="shared" ref="C63:AE63" si="17">+C79</f>
        <v>-14</v>
      </c>
      <c r="D63" s="8">
        <f t="shared" si="17"/>
        <v>-24.75</v>
      </c>
      <c r="E63" s="8">
        <f t="shared" si="17"/>
        <v>-74.75</v>
      </c>
      <c r="F63" s="8">
        <f t="shared" si="17"/>
        <v>-105</v>
      </c>
      <c r="G63" s="8">
        <f t="shared" si="17"/>
        <v>-62</v>
      </c>
      <c r="H63" s="8">
        <f t="shared" si="17"/>
        <v>0</v>
      </c>
      <c r="I63" s="8">
        <f t="shared" si="17"/>
        <v>0</v>
      </c>
      <c r="J63" s="8">
        <f t="shared" si="17"/>
        <v>0</v>
      </c>
      <c r="K63" s="8">
        <f t="shared" si="17"/>
        <v>0</v>
      </c>
      <c r="L63" s="8">
        <f t="shared" si="17"/>
        <v>0</v>
      </c>
      <c r="M63" s="8">
        <f t="shared" si="17"/>
        <v>0</v>
      </c>
      <c r="N63" s="8">
        <f t="shared" si="17"/>
        <v>0</v>
      </c>
      <c r="O63" s="8">
        <f t="shared" si="17"/>
        <v>0</v>
      </c>
      <c r="P63" s="8">
        <f t="shared" si="17"/>
        <v>0</v>
      </c>
      <c r="Q63" s="8">
        <f t="shared" si="17"/>
        <v>0</v>
      </c>
      <c r="R63" s="8">
        <f t="shared" si="17"/>
        <v>0</v>
      </c>
      <c r="S63" s="8">
        <f t="shared" si="17"/>
        <v>0</v>
      </c>
      <c r="T63" s="8">
        <f t="shared" si="17"/>
        <v>0</v>
      </c>
      <c r="U63" s="8">
        <f t="shared" si="17"/>
        <v>0</v>
      </c>
      <c r="V63" s="8">
        <f t="shared" si="17"/>
        <v>0</v>
      </c>
      <c r="W63" s="8">
        <f t="shared" si="17"/>
        <v>0</v>
      </c>
      <c r="X63" s="8">
        <f t="shared" si="17"/>
        <v>0</v>
      </c>
      <c r="Y63" s="8">
        <f t="shared" si="17"/>
        <v>0</v>
      </c>
      <c r="Z63" s="8">
        <f t="shared" si="17"/>
        <v>0</v>
      </c>
      <c r="AA63" s="8">
        <f t="shared" si="17"/>
        <v>0</v>
      </c>
      <c r="AB63" s="8">
        <f t="shared" si="17"/>
        <v>0</v>
      </c>
      <c r="AC63" s="8">
        <f t="shared" si="17"/>
        <v>0</v>
      </c>
      <c r="AD63" s="8">
        <f t="shared" si="17"/>
        <v>0</v>
      </c>
      <c r="AE63" s="8">
        <f t="shared" si="17"/>
        <v>0</v>
      </c>
    </row>
    <row r="64" spans="1:31" x14ac:dyDescent="0.25">
      <c r="A64" s="12" t="s">
        <v>64</v>
      </c>
      <c r="B64" s="8">
        <f>+B61+B62+B63</f>
        <v>0</v>
      </c>
      <c r="C64" s="8">
        <f>+C61+C62+C63</f>
        <v>-0.25</v>
      </c>
      <c r="D64" s="8">
        <f t="shared" ref="D64:AE64" si="18">+D62+D63</f>
        <v>0</v>
      </c>
      <c r="E64" s="8">
        <f t="shared" si="18"/>
        <v>0</v>
      </c>
      <c r="F64" s="8">
        <f t="shared" si="18"/>
        <v>-0.25</v>
      </c>
      <c r="G64" s="8">
        <f t="shared" si="18"/>
        <v>69.75</v>
      </c>
      <c r="H64" s="8">
        <f t="shared" si="18"/>
        <v>131.75</v>
      </c>
      <c r="I64" s="8">
        <f t="shared" si="18"/>
        <v>131.75</v>
      </c>
      <c r="J64" s="8">
        <f t="shared" si="18"/>
        <v>131.75</v>
      </c>
      <c r="K64" s="8">
        <f t="shared" si="18"/>
        <v>126.75</v>
      </c>
      <c r="L64" s="8">
        <f t="shared" si="18"/>
        <v>121.5</v>
      </c>
      <c r="M64" s="8">
        <f t="shared" si="18"/>
        <v>121.5</v>
      </c>
      <c r="N64" s="8">
        <f t="shared" si="18"/>
        <v>121.5</v>
      </c>
      <c r="O64" s="8">
        <f t="shared" si="18"/>
        <v>121.5</v>
      </c>
      <c r="P64" s="8">
        <f t="shared" si="18"/>
        <v>121.5</v>
      </c>
      <c r="Q64" s="8">
        <f t="shared" si="18"/>
        <v>120</v>
      </c>
      <c r="R64" s="8">
        <f t="shared" si="18"/>
        <v>120</v>
      </c>
      <c r="S64" s="8">
        <f t="shared" si="18"/>
        <v>120</v>
      </c>
      <c r="T64" s="8">
        <f t="shared" si="18"/>
        <v>120</v>
      </c>
      <c r="U64" s="8">
        <f t="shared" si="18"/>
        <v>115</v>
      </c>
      <c r="V64" s="8">
        <f t="shared" si="18"/>
        <v>113.5</v>
      </c>
      <c r="W64" s="8">
        <f t="shared" si="18"/>
        <v>113.5</v>
      </c>
      <c r="X64" s="8">
        <f t="shared" si="18"/>
        <v>113.5</v>
      </c>
      <c r="Y64" s="8">
        <f t="shared" si="18"/>
        <v>113.5</v>
      </c>
      <c r="Z64" s="8">
        <f t="shared" si="18"/>
        <v>112</v>
      </c>
      <c r="AA64" s="8">
        <f t="shared" si="18"/>
        <v>112</v>
      </c>
      <c r="AB64" s="8">
        <f t="shared" si="18"/>
        <v>112</v>
      </c>
      <c r="AC64" s="8">
        <f t="shared" si="18"/>
        <v>112</v>
      </c>
      <c r="AD64" s="8">
        <f t="shared" si="18"/>
        <v>100.5</v>
      </c>
      <c r="AE64" s="8">
        <f t="shared" si="18"/>
        <v>100.5</v>
      </c>
    </row>
    <row r="65" spans="1:3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25">
      <c r="A66" s="12" t="s">
        <v>65</v>
      </c>
      <c r="B66" s="8">
        <f>+B56+B64</f>
        <v>-232.99560000000002</v>
      </c>
      <c r="C66" s="8">
        <f t="shared" ref="C66:AD66" si="19">+C56+C64</f>
        <v>-0.25</v>
      </c>
      <c r="D66" s="8">
        <f t="shared" si="19"/>
        <v>0</v>
      </c>
      <c r="E66" s="8">
        <f t="shared" si="19"/>
        <v>0</v>
      </c>
      <c r="F66" s="8">
        <f t="shared" si="19"/>
        <v>-0.25</v>
      </c>
      <c r="G66" s="8">
        <f t="shared" si="19"/>
        <v>69.75</v>
      </c>
      <c r="H66" s="8">
        <f t="shared" si="19"/>
        <v>131.75</v>
      </c>
      <c r="I66" s="8">
        <f t="shared" si="19"/>
        <v>131.75</v>
      </c>
      <c r="J66" s="8">
        <f t="shared" si="19"/>
        <v>131.75</v>
      </c>
      <c r="K66" s="8">
        <f t="shared" si="19"/>
        <v>126.75</v>
      </c>
      <c r="L66" s="8">
        <f t="shared" si="19"/>
        <v>121.5</v>
      </c>
      <c r="M66" s="8">
        <f t="shared" si="19"/>
        <v>121.5</v>
      </c>
      <c r="N66" s="8">
        <f t="shared" si="19"/>
        <v>121.5</v>
      </c>
      <c r="O66" s="8">
        <f t="shared" si="19"/>
        <v>121.5</v>
      </c>
      <c r="P66" s="8">
        <f t="shared" si="19"/>
        <v>121.5</v>
      </c>
      <c r="Q66" s="8">
        <f t="shared" si="19"/>
        <v>120</v>
      </c>
      <c r="R66" s="8">
        <f t="shared" si="19"/>
        <v>120</v>
      </c>
      <c r="S66" s="8">
        <f t="shared" si="19"/>
        <v>120</v>
      </c>
      <c r="T66" s="8">
        <f t="shared" si="19"/>
        <v>120</v>
      </c>
      <c r="U66" s="8">
        <f t="shared" si="19"/>
        <v>115</v>
      </c>
      <c r="V66" s="8">
        <f t="shared" si="19"/>
        <v>113.5</v>
      </c>
      <c r="W66" s="8">
        <f t="shared" si="19"/>
        <v>113.5</v>
      </c>
      <c r="X66" s="8">
        <f t="shared" si="19"/>
        <v>113.5</v>
      </c>
      <c r="Y66" s="8">
        <f t="shared" si="19"/>
        <v>113.5</v>
      </c>
      <c r="Z66" s="8">
        <f t="shared" si="19"/>
        <v>112</v>
      </c>
      <c r="AA66" s="8">
        <f t="shared" si="19"/>
        <v>112</v>
      </c>
      <c r="AB66" s="8">
        <f t="shared" si="19"/>
        <v>112</v>
      </c>
      <c r="AC66" s="8">
        <f t="shared" si="19"/>
        <v>112</v>
      </c>
      <c r="AD66" s="8">
        <f t="shared" si="19"/>
        <v>100.5</v>
      </c>
      <c r="AE66" s="8">
        <f>+AE56+AE64</f>
        <v>100.5</v>
      </c>
    </row>
    <row r="67" spans="1:31" x14ac:dyDescent="0.25">
      <c r="A67" s="7" t="s">
        <v>66</v>
      </c>
      <c r="B67" s="23">
        <v>0.08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25">
      <c r="A68" s="7" t="s">
        <v>67</v>
      </c>
      <c r="B68" s="24">
        <f>1/(1+$B$67)^B54</f>
        <v>1</v>
      </c>
      <c r="C68" s="24">
        <f t="shared" ref="C68:AE68" si="20">1/(1+$B$67)^C54</f>
        <v>0.92592592592592582</v>
      </c>
      <c r="D68" s="24">
        <f t="shared" si="20"/>
        <v>0.85733882030178321</v>
      </c>
      <c r="E68" s="24">
        <f t="shared" si="20"/>
        <v>0.79383224102016958</v>
      </c>
      <c r="F68" s="24">
        <f t="shared" si="20"/>
        <v>0.73502985279645328</v>
      </c>
      <c r="G68" s="24">
        <f t="shared" si="20"/>
        <v>0.68058319703375303</v>
      </c>
      <c r="H68" s="24">
        <f t="shared" si="20"/>
        <v>0.63016962688310452</v>
      </c>
      <c r="I68" s="24">
        <f t="shared" si="20"/>
        <v>0.58349039526213387</v>
      </c>
      <c r="J68" s="24">
        <f t="shared" si="20"/>
        <v>0.54026888450197574</v>
      </c>
      <c r="K68" s="24">
        <f t="shared" si="20"/>
        <v>0.50024896713145905</v>
      </c>
      <c r="L68" s="24">
        <f t="shared" si="20"/>
        <v>0.46319348808468425</v>
      </c>
      <c r="M68" s="24">
        <f t="shared" si="20"/>
        <v>0.42888285933767062</v>
      </c>
      <c r="N68" s="24">
        <f t="shared" si="20"/>
        <v>0.39711375864599124</v>
      </c>
      <c r="O68" s="24">
        <f t="shared" si="20"/>
        <v>0.36769792467221413</v>
      </c>
      <c r="P68" s="24">
        <f t="shared" si="20"/>
        <v>0.34046104136316119</v>
      </c>
      <c r="Q68" s="24">
        <f t="shared" si="20"/>
        <v>0.31524170496588994</v>
      </c>
      <c r="R68" s="24">
        <f t="shared" si="20"/>
        <v>0.29189046756100923</v>
      </c>
      <c r="S68" s="24">
        <f t="shared" si="20"/>
        <v>0.27026895144537894</v>
      </c>
      <c r="T68" s="24">
        <f t="shared" si="20"/>
        <v>0.25024902911609154</v>
      </c>
      <c r="U68" s="24">
        <f t="shared" si="20"/>
        <v>0.23171206399638106</v>
      </c>
      <c r="V68" s="24">
        <f t="shared" si="20"/>
        <v>0.21454820740405653</v>
      </c>
      <c r="W68" s="24">
        <f t="shared" si="20"/>
        <v>0.19865574759634863</v>
      </c>
      <c r="X68" s="24">
        <f t="shared" si="20"/>
        <v>0.18394050703365611</v>
      </c>
      <c r="Y68" s="24">
        <f t="shared" si="20"/>
        <v>0.17031528429042234</v>
      </c>
      <c r="Z68" s="24">
        <f t="shared" si="20"/>
        <v>0.1576993373059466</v>
      </c>
      <c r="AA68" s="24">
        <f t="shared" si="20"/>
        <v>0.1460179049129135</v>
      </c>
      <c r="AB68" s="24">
        <f t="shared" si="20"/>
        <v>0.13520176380825324</v>
      </c>
      <c r="AC68" s="24">
        <f t="shared" si="20"/>
        <v>0.12518681834097523</v>
      </c>
      <c r="AD68" s="24">
        <f t="shared" si="20"/>
        <v>0.11591372068608817</v>
      </c>
      <c r="AE68" s="24">
        <f t="shared" si="20"/>
        <v>0.10732751915378534</v>
      </c>
    </row>
    <row r="69" spans="1:31" x14ac:dyDescent="0.25">
      <c r="A69" s="12" t="s">
        <v>68</v>
      </c>
      <c r="B69" s="8">
        <f>+B66*B68</f>
        <v>-232.99560000000002</v>
      </c>
      <c r="C69" s="8">
        <f t="shared" ref="C69:AE69" si="21">+C66*C68</f>
        <v>-0.23148148148148145</v>
      </c>
      <c r="D69" s="8">
        <f t="shared" si="21"/>
        <v>0</v>
      </c>
      <c r="E69" s="8">
        <f t="shared" si="21"/>
        <v>0</v>
      </c>
      <c r="F69" s="8">
        <f t="shared" si="21"/>
        <v>-0.18375746319911332</v>
      </c>
      <c r="G69" s="8">
        <f t="shared" si="21"/>
        <v>47.470677993104275</v>
      </c>
      <c r="H69" s="8">
        <f t="shared" si="21"/>
        <v>83.024848341849022</v>
      </c>
      <c r="I69" s="8">
        <f t="shared" si="21"/>
        <v>76.874859575786132</v>
      </c>
      <c r="J69" s="8">
        <f t="shared" si="21"/>
        <v>71.180425533135306</v>
      </c>
      <c r="K69" s="8">
        <f t="shared" si="21"/>
        <v>63.406556583912433</v>
      </c>
      <c r="L69" s="8">
        <f t="shared" si="21"/>
        <v>56.278008802289136</v>
      </c>
      <c r="M69" s="8">
        <f t="shared" si="21"/>
        <v>52.109267409526979</v>
      </c>
      <c r="N69" s="8">
        <f t="shared" si="21"/>
        <v>48.249321675487934</v>
      </c>
      <c r="O69" s="8">
        <f t="shared" si="21"/>
        <v>44.675297847674017</v>
      </c>
      <c r="P69" s="8">
        <f t="shared" si="21"/>
        <v>41.366016525624083</v>
      </c>
      <c r="Q69" s="8">
        <f t="shared" si="21"/>
        <v>37.829004595906795</v>
      </c>
      <c r="R69" s="8">
        <f t="shared" si="21"/>
        <v>35.026856107321109</v>
      </c>
      <c r="S69" s="8">
        <f t="shared" si="21"/>
        <v>32.432274173445471</v>
      </c>
      <c r="T69" s="8">
        <f t="shared" si="21"/>
        <v>30.029883493930985</v>
      </c>
      <c r="U69" s="8">
        <f t="shared" si="21"/>
        <v>26.646887359583822</v>
      </c>
      <c r="V69" s="8">
        <f t="shared" si="21"/>
        <v>24.351221540360417</v>
      </c>
      <c r="W69" s="8">
        <f t="shared" si="21"/>
        <v>22.547427352185569</v>
      </c>
      <c r="X69" s="8">
        <f t="shared" si="21"/>
        <v>20.877247548319968</v>
      </c>
      <c r="Y69" s="8">
        <f t="shared" si="21"/>
        <v>19.330784766962935</v>
      </c>
      <c r="Z69" s="8">
        <f t="shared" si="21"/>
        <v>17.66232577826602</v>
      </c>
      <c r="AA69" s="8">
        <f t="shared" si="21"/>
        <v>16.354005350246311</v>
      </c>
      <c r="AB69" s="8">
        <f t="shared" si="21"/>
        <v>15.142597546524364</v>
      </c>
      <c r="AC69" s="8">
        <f t="shared" si="21"/>
        <v>14.020923654189225</v>
      </c>
      <c r="AD69" s="8">
        <f t="shared" si="21"/>
        <v>11.649328928951862</v>
      </c>
      <c r="AE69" s="8">
        <f t="shared" si="21"/>
        <v>10.786415674955427</v>
      </c>
    </row>
    <row r="70" spans="1:31" x14ac:dyDescent="0.25">
      <c r="A70" s="12" t="s">
        <v>69</v>
      </c>
      <c r="B70" s="8">
        <f>SUM(B69:AE69)</f>
        <v>685.91162521485876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25">
      <c r="A71" s="12" t="s">
        <v>70</v>
      </c>
      <c r="B71" s="23">
        <f>IRR(B66:AE66)</f>
        <v>0.22136113331444163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4" spans="1:31" x14ac:dyDescent="0.25">
      <c r="A74" s="2" t="s">
        <v>71</v>
      </c>
      <c r="B74" s="25">
        <v>0.08</v>
      </c>
      <c r="C74" s="25">
        <f>+B74</f>
        <v>0.08</v>
      </c>
      <c r="D74" s="25">
        <f t="shared" ref="D74:AE74" si="22">+C74</f>
        <v>0.08</v>
      </c>
      <c r="E74" s="25">
        <f t="shared" si="22"/>
        <v>0.08</v>
      </c>
      <c r="F74" s="25">
        <f t="shared" si="22"/>
        <v>0.08</v>
      </c>
      <c r="G74" s="25">
        <f t="shared" si="22"/>
        <v>0.08</v>
      </c>
      <c r="H74" s="25">
        <f t="shared" si="22"/>
        <v>0.08</v>
      </c>
      <c r="I74" s="25">
        <f t="shared" si="22"/>
        <v>0.08</v>
      </c>
      <c r="J74" s="25">
        <f t="shared" si="22"/>
        <v>0.08</v>
      </c>
      <c r="K74" s="25">
        <f t="shared" si="22"/>
        <v>0.08</v>
      </c>
      <c r="L74" s="25">
        <f t="shared" si="22"/>
        <v>0.08</v>
      </c>
      <c r="M74" s="25">
        <f t="shared" si="22"/>
        <v>0.08</v>
      </c>
      <c r="N74" s="25">
        <f t="shared" si="22"/>
        <v>0.08</v>
      </c>
      <c r="O74" s="25">
        <f t="shared" si="22"/>
        <v>0.08</v>
      </c>
      <c r="P74" s="25">
        <f t="shared" si="22"/>
        <v>0.08</v>
      </c>
      <c r="Q74" s="25">
        <f t="shared" si="22"/>
        <v>0.08</v>
      </c>
      <c r="R74" s="25">
        <f t="shared" si="22"/>
        <v>0.08</v>
      </c>
      <c r="S74" s="25">
        <f t="shared" si="22"/>
        <v>0.08</v>
      </c>
      <c r="T74" s="25">
        <f t="shared" si="22"/>
        <v>0.08</v>
      </c>
      <c r="U74" s="25">
        <f t="shared" si="22"/>
        <v>0.08</v>
      </c>
      <c r="V74" s="25">
        <f t="shared" si="22"/>
        <v>0.08</v>
      </c>
      <c r="W74" s="25">
        <f t="shared" si="22"/>
        <v>0.08</v>
      </c>
      <c r="X74" s="25">
        <f t="shared" si="22"/>
        <v>0.08</v>
      </c>
      <c r="Y74" s="25">
        <f t="shared" si="22"/>
        <v>0.08</v>
      </c>
      <c r="Z74" s="25">
        <f t="shared" si="22"/>
        <v>0.08</v>
      </c>
      <c r="AA74" s="25">
        <f t="shared" si="22"/>
        <v>0.08</v>
      </c>
      <c r="AB74" s="25">
        <f t="shared" si="22"/>
        <v>0.08</v>
      </c>
      <c r="AC74" s="25">
        <f t="shared" si="22"/>
        <v>0.08</v>
      </c>
      <c r="AD74" s="25">
        <f t="shared" si="22"/>
        <v>0.08</v>
      </c>
      <c r="AE74" s="25">
        <f t="shared" si="22"/>
        <v>0.08</v>
      </c>
    </row>
    <row r="75" spans="1:31" x14ac:dyDescent="0.25">
      <c r="A75" s="2" t="s">
        <v>72</v>
      </c>
      <c r="B75" s="8">
        <f>+B56</f>
        <v>-232.99560000000002</v>
      </c>
      <c r="C75" s="8">
        <f>+$B$81</f>
        <v>-232.67560000000003</v>
      </c>
      <c r="D75" s="8">
        <f>+C81</f>
        <v>-232.33000000000004</v>
      </c>
      <c r="E75" s="8">
        <f t="shared" ref="E75:AE75" si="23">+D81</f>
        <v>-221.20675200000005</v>
      </c>
      <c r="F75" s="8">
        <f t="shared" si="23"/>
        <v>-159.19364416000005</v>
      </c>
      <c r="G75" s="8">
        <f t="shared" si="23"/>
        <v>-61.969487692800044</v>
      </c>
      <c r="H75" s="8">
        <f t="shared" si="23"/>
        <v>3.2601291775954166E-2</v>
      </c>
      <c r="I75" s="8">
        <f t="shared" si="23"/>
        <v>3.2601291775954166E-2</v>
      </c>
      <c r="J75" s="8">
        <f t="shared" si="23"/>
        <v>3.2601291775954166E-2</v>
      </c>
      <c r="K75" s="8">
        <f t="shared" si="23"/>
        <v>3.2601291775954166E-2</v>
      </c>
      <c r="L75" s="8">
        <f t="shared" si="23"/>
        <v>3.2601291775954166E-2</v>
      </c>
      <c r="M75" s="8">
        <f t="shared" si="23"/>
        <v>3.2601291775954166E-2</v>
      </c>
      <c r="N75" s="8">
        <f t="shared" si="23"/>
        <v>3.2601291775954166E-2</v>
      </c>
      <c r="O75" s="8">
        <f t="shared" si="23"/>
        <v>3.2601291775954166E-2</v>
      </c>
      <c r="P75" s="8">
        <f t="shared" si="23"/>
        <v>3.2601291775954166E-2</v>
      </c>
      <c r="Q75" s="8">
        <f t="shared" si="23"/>
        <v>3.2601291775954166E-2</v>
      </c>
      <c r="R75" s="8">
        <f t="shared" si="23"/>
        <v>3.2601291775954166E-2</v>
      </c>
      <c r="S75" s="8">
        <f t="shared" si="23"/>
        <v>3.2601291775954166E-2</v>
      </c>
      <c r="T75" s="8">
        <f t="shared" si="23"/>
        <v>3.2601291775954166E-2</v>
      </c>
      <c r="U75" s="8">
        <f t="shared" si="23"/>
        <v>3.2601291775954166E-2</v>
      </c>
      <c r="V75" s="8">
        <f t="shared" si="23"/>
        <v>3.2601291775954166E-2</v>
      </c>
      <c r="W75" s="8">
        <f t="shared" si="23"/>
        <v>3.2601291775954166E-2</v>
      </c>
      <c r="X75" s="8">
        <f t="shared" si="23"/>
        <v>3.2601291775954166E-2</v>
      </c>
      <c r="Y75" s="8">
        <f t="shared" si="23"/>
        <v>3.2601291775954166E-2</v>
      </c>
      <c r="Z75" s="8">
        <f t="shared" si="23"/>
        <v>3.2601291775954166E-2</v>
      </c>
      <c r="AA75" s="8">
        <f t="shared" si="23"/>
        <v>3.2601291775954166E-2</v>
      </c>
      <c r="AB75" s="8">
        <f t="shared" si="23"/>
        <v>3.2601291775954166E-2</v>
      </c>
      <c r="AC75" s="8">
        <f t="shared" si="23"/>
        <v>3.2601291775954166E-2</v>
      </c>
      <c r="AD75" s="8">
        <f t="shared" si="23"/>
        <v>3.2601291775954166E-2</v>
      </c>
      <c r="AE75" s="8">
        <f t="shared" si="23"/>
        <v>3.2601291775954166E-2</v>
      </c>
    </row>
    <row r="76" spans="1:31" x14ac:dyDescent="0.25">
      <c r="A76" s="2" t="s">
        <v>81</v>
      </c>
      <c r="B76" s="28">
        <v>-62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25">
      <c r="A77" s="2" t="s">
        <v>80</v>
      </c>
      <c r="B77" s="8">
        <v>-171</v>
      </c>
      <c r="C77" s="8">
        <f>B80</f>
        <v>-170.68</v>
      </c>
      <c r="D77" s="8">
        <f>C80</f>
        <v>-170.33440000000002</v>
      </c>
      <c r="E77" s="8">
        <f>D80</f>
        <v>-159.21115200000003</v>
      </c>
      <c r="F77" s="8">
        <f>E80</f>
        <v>-97.198044160000023</v>
      </c>
      <c r="G77" s="8">
        <f>F80</f>
        <v>2.6112307199980478E-2</v>
      </c>
      <c r="H77" s="8">
        <v>0</v>
      </c>
      <c r="I77" s="8">
        <f>H80</f>
        <v>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25">
      <c r="A78" s="2" t="s">
        <v>73</v>
      </c>
      <c r="B78" s="8">
        <f>+B74*B77</f>
        <v>-13.68</v>
      </c>
      <c r="C78" s="8">
        <f t="shared" ref="C78:I78" si="24">+C74*C77</f>
        <v>-13.654400000000001</v>
      </c>
      <c r="D78" s="8">
        <f t="shared" si="24"/>
        <v>-13.626752000000002</v>
      </c>
      <c r="E78" s="8">
        <f t="shared" si="24"/>
        <v>-12.736892160000002</v>
      </c>
      <c r="F78" s="8">
        <f t="shared" si="24"/>
        <v>-7.7758435328000024</v>
      </c>
      <c r="G78" s="8">
        <f t="shared" si="24"/>
        <v>2.0889845759984381E-3</v>
      </c>
      <c r="H78" s="8">
        <f t="shared" si="24"/>
        <v>0</v>
      </c>
      <c r="I78" s="8">
        <f t="shared" si="24"/>
        <v>0</v>
      </c>
    </row>
    <row r="79" spans="1:31" x14ac:dyDescent="0.25">
      <c r="A79" s="2" t="s">
        <v>74</v>
      </c>
      <c r="B79" s="8">
        <v>-14</v>
      </c>
      <c r="C79" s="8">
        <v>-14</v>
      </c>
      <c r="D79" s="8">
        <f>(-D62)</f>
        <v>-24.75</v>
      </c>
      <c r="E79" s="8">
        <f>-E62</f>
        <v>-74.75</v>
      </c>
      <c r="F79" s="8">
        <f>-105</f>
        <v>-105</v>
      </c>
      <c r="G79" s="28">
        <v>-62</v>
      </c>
      <c r="H79" s="8">
        <v>0</v>
      </c>
      <c r="I79" s="8"/>
      <c r="J79" s="8"/>
      <c r="K79" s="8"/>
      <c r="L79" s="8"/>
    </row>
    <row r="80" spans="1:31" x14ac:dyDescent="0.25">
      <c r="A80" s="2" t="s">
        <v>82</v>
      </c>
      <c r="B80" s="8">
        <f>B77+B78-B79</f>
        <v>-170.68</v>
      </c>
      <c r="C80" s="8">
        <f>C77+C78-C79</f>
        <v>-170.33440000000002</v>
      </c>
      <c r="D80" s="8">
        <f>D77+D78-D79</f>
        <v>-159.21115200000003</v>
      </c>
      <c r="E80" s="8">
        <f>E77+E78-E79</f>
        <v>-97.198044160000023</v>
      </c>
      <c r="F80" s="8">
        <f>F77+F78-F79</f>
        <v>2.6112307199980478E-2</v>
      </c>
      <c r="G80" s="8">
        <v>0</v>
      </c>
      <c r="H80" s="8"/>
      <c r="I80" s="8">
        <f>I77+I78-I79</f>
        <v>0</v>
      </c>
      <c r="J80" s="8"/>
      <c r="K80" s="8"/>
      <c r="L80" s="8"/>
    </row>
    <row r="81" spans="1:31" x14ac:dyDescent="0.25">
      <c r="A81" s="2" t="s">
        <v>75</v>
      </c>
      <c r="B81" s="8">
        <f t="shared" ref="B81:AE81" si="25">+B75+B78-B79</f>
        <v>-232.67560000000003</v>
      </c>
      <c r="C81" s="8">
        <f t="shared" si="25"/>
        <v>-232.33000000000004</v>
      </c>
      <c r="D81" s="8">
        <f t="shared" si="25"/>
        <v>-221.20675200000005</v>
      </c>
      <c r="E81" s="8">
        <f t="shared" si="25"/>
        <v>-159.19364416000005</v>
      </c>
      <c r="F81" s="8">
        <f t="shared" si="25"/>
        <v>-61.969487692800044</v>
      </c>
      <c r="G81" s="8">
        <f t="shared" si="25"/>
        <v>3.2601291775954166E-2</v>
      </c>
      <c r="H81" s="8">
        <f t="shared" si="25"/>
        <v>3.2601291775954166E-2</v>
      </c>
      <c r="I81" s="8">
        <f t="shared" si="25"/>
        <v>3.2601291775954166E-2</v>
      </c>
      <c r="J81" s="8">
        <f t="shared" si="25"/>
        <v>3.2601291775954166E-2</v>
      </c>
      <c r="K81" s="8">
        <f t="shared" si="25"/>
        <v>3.2601291775954166E-2</v>
      </c>
      <c r="L81" s="8">
        <f t="shared" si="25"/>
        <v>3.2601291775954166E-2</v>
      </c>
      <c r="M81" s="8">
        <f t="shared" si="25"/>
        <v>3.2601291775954166E-2</v>
      </c>
      <c r="N81" s="8">
        <f t="shared" si="25"/>
        <v>3.2601291775954166E-2</v>
      </c>
      <c r="O81" s="8">
        <f t="shared" si="25"/>
        <v>3.2601291775954166E-2</v>
      </c>
      <c r="P81" s="8">
        <f t="shared" si="25"/>
        <v>3.2601291775954166E-2</v>
      </c>
      <c r="Q81" s="8">
        <f t="shared" si="25"/>
        <v>3.2601291775954166E-2</v>
      </c>
      <c r="R81" s="8">
        <f t="shared" si="25"/>
        <v>3.2601291775954166E-2</v>
      </c>
      <c r="S81" s="8">
        <f t="shared" si="25"/>
        <v>3.2601291775954166E-2</v>
      </c>
      <c r="T81" s="8">
        <f t="shared" si="25"/>
        <v>3.2601291775954166E-2</v>
      </c>
      <c r="U81" s="8">
        <f t="shared" si="25"/>
        <v>3.2601291775954166E-2</v>
      </c>
      <c r="V81" s="8">
        <f t="shared" si="25"/>
        <v>3.2601291775954166E-2</v>
      </c>
      <c r="W81" s="8">
        <f t="shared" si="25"/>
        <v>3.2601291775954166E-2</v>
      </c>
      <c r="X81" s="8">
        <f t="shared" si="25"/>
        <v>3.2601291775954166E-2</v>
      </c>
      <c r="Y81" s="8">
        <f t="shared" si="25"/>
        <v>3.2601291775954166E-2</v>
      </c>
      <c r="Z81" s="8">
        <f t="shared" si="25"/>
        <v>3.2601291775954166E-2</v>
      </c>
      <c r="AA81" s="8">
        <f t="shared" si="25"/>
        <v>3.2601291775954166E-2</v>
      </c>
      <c r="AB81" s="8">
        <f t="shared" si="25"/>
        <v>3.2601291775954166E-2</v>
      </c>
      <c r="AC81" s="8">
        <f t="shared" si="25"/>
        <v>3.2601291775954166E-2</v>
      </c>
      <c r="AD81" s="8">
        <f t="shared" si="25"/>
        <v>3.2601291775954166E-2</v>
      </c>
      <c r="AE81" s="8">
        <f t="shared" si="25"/>
        <v>3.2601291775954166E-2</v>
      </c>
    </row>
    <row r="82" spans="1:31" x14ac:dyDescent="0.25">
      <c r="D82" s="8">
        <f>D79-D78</f>
        <v>-11.123247999999998</v>
      </c>
      <c r="E82" s="8">
        <f>E79-E78</f>
        <v>-62.013107839999996</v>
      </c>
      <c r="F82" s="8">
        <f>F79-F78</f>
        <v>-97.224156467200004</v>
      </c>
      <c r="G82" s="8">
        <f>G79-G78</f>
        <v>-62.002088984575998</v>
      </c>
      <c r="H82" s="8">
        <f>H79-H78</f>
        <v>0</v>
      </c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Cash flow </vt:lpstr>
      <vt:lpstr>'Project Cash flow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cp:lastPrinted>2021-05-11T15:51:02Z</cp:lastPrinted>
  <dcterms:created xsi:type="dcterms:W3CDTF">2021-02-25T17:56:46Z</dcterms:created>
  <dcterms:modified xsi:type="dcterms:W3CDTF">2021-05-12T06:07:46Z</dcterms:modified>
</cp:coreProperties>
</file>